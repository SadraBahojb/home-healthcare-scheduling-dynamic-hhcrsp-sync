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dra\Downloads\Github\"/>
    </mc:Choice>
  </mc:AlternateContent>
  <xr:revisionPtr revIDLastSave="0" documentId="13_ncr:1_{64DDFBBC-689F-4EA3-A077-977B99D89D5E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Results" sheetId="1" r:id="rId1"/>
    <sheet name="GA Ru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5" i="1" l="1"/>
  <c r="AH55" i="1"/>
  <c r="AJ31" i="1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Y9" i="1" l="1"/>
  <c r="X9" i="1"/>
  <c r="Z17" i="1"/>
  <c r="AA17" i="1" s="1"/>
  <c r="Z25" i="1"/>
  <c r="AA25" i="1" s="1"/>
  <c r="Z41" i="1"/>
  <c r="AA41" i="1" s="1"/>
  <c r="Y49" i="1"/>
  <c r="Y57" i="1"/>
  <c r="Z65" i="1"/>
  <c r="AA65" i="1" s="1"/>
  <c r="Z73" i="1"/>
  <c r="AA73" i="1" s="1"/>
  <c r="Z81" i="1"/>
  <c r="AA81" i="1" s="1"/>
  <c r="Z97" i="1"/>
  <c r="AA97" i="1" s="1"/>
  <c r="Y105" i="1"/>
  <c r="Z105" i="1"/>
  <c r="AA105" i="1" s="1"/>
  <c r="Q12" i="1"/>
  <c r="Z20" i="1"/>
  <c r="AA20" i="1" s="1"/>
  <c r="Z28" i="1"/>
  <c r="AA28" i="1" s="1"/>
  <c r="Z36" i="1"/>
  <c r="AA36" i="1" s="1"/>
  <c r="Y44" i="1"/>
  <c r="Z52" i="1"/>
  <c r="AA52" i="1" s="1"/>
  <c r="Y60" i="1"/>
  <c r="Z68" i="1"/>
  <c r="AA68" i="1" s="1"/>
  <c r="X76" i="1"/>
  <c r="Y84" i="1"/>
  <c r="Y8" i="1"/>
  <c r="Z18" i="1"/>
  <c r="AA18" i="1" s="1"/>
  <c r="Z23" i="1"/>
  <c r="AA23" i="1" s="1"/>
  <c r="Q24" i="1"/>
  <c r="S24" i="1" s="1"/>
  <c r="Y31" i="1"/>
  <c r="Q37" i="1"/>
  <c r="R37" i="1" s="1"/>
  <c r="AH37" i="1" s="1"/>
  <c r="Q40" i="1"/>
  <c r="W40" i="1" s="1"/>
  <c r="Q45" i="1"/>
  <c r="Z55" i="1"/>
  <c r="AA55" i="1" s="1"/>
  <c r="Y71" i="1"/>
  <c r="Z33" i="1"/>
  <c r="AA33" i="1" s="1"/>
  <c r="Z7" i="1"/>
  <c r="AA7" i="1" s="1"/>
  <c r="X15" i="1"/>
  <c r="Z21" i="1"/>
  <c r="AA21" i="1" s="1"/>
  <c r="X26" i="1"/>
  <c r="Z29" i="1"/>
  <c r="AA29" i="1" s="1"/>
  <c r="Z32" i="1"/>
  <c r="AA32" i="1" s="1"/>
  <c r="Z39" i="1"/>
  <c r="AA39" i="1" s="1"/>
  <c r="Y47" i="1"/>
  <c r="Z63" i="1"/>
  <c r="AA63" i="1" s="1"/>
  <c r="Q79" i="1"/>
  <c r="S79" i="1" s="1"/>
  <c r="Z27" i="1"/>
  <c r="AA27" i="1" s="1"/>
  <c r="Z43" i="1"/>
  <c r="AA43" i="1" s="1"/>
  <c r="X35" i="1"/>
  <c r="Q84" i="1"/>
  <c r="U84" i="1" s="1"/>
  <c r="AI84" i="1" s="1"/>
  <c r="AK84" i="1" s="1"/>
  <c r="X38" i="1"/>
  <c r="Q54" i="1"/>
  <c r="U54" i="1" s="1"/>
  <c r="AI54" i="1" s="1"/>
  <c r="AK54" i="1" s="1"/>
  <c r="Q27" i="1"/>
  <c r="R27" i="1" s="1"/>
  <c r="AH27" i="1" s="1"/>
  <c r="X49" i="1"/>
  <c r="Z6" i="1"/>
  <c r="AA6" i="1" s="1"/>
  <c r="Z14" i="1"/>
  <c r="AA14" i="1" s="1"/>
  <c r="Z22" i="1"/>
  <c r="AA22" i="1" s="1"/>
  <c r="Y27" i="1"/>
  <c r="Z30" i="1"/>
  <c r="AA30" i="1" s="1"/>
  <c r="Z11" i="1"/>
  <c r="AA11" i="1" s="1"/>
  <c r="Q19" i="1"/>
  <c r="Q97" i="1"/>
  <c r="T97" i="1" s="1"/>
  <c r="X27" i="1"/>
  <c r="Z44" i="1"/>
  <c r="AA44" i="1" s="1"/>
  <c r="Z57" i="1"/>
  <c r="AA57" i="1" s="1"/>
  <c r="Y52" i="1"/>
  <c r="Q65" i="1"/>
  <c r="T65" i="1" s="1"/>
  <c r="Q9" i="1"/>
  <c r="W9" i="1" s="1"/>
  <c r="Q31" i="1"/>
  <c r="V31" i="1" s="1"/>
  <c r="X10" i="1"/>
  <c r="Z16" i="1"/>
  <c r="AA16" i="1" s="1"/>
  <c r="Z35" i="1"/>
  <c r="AA35" i="1" s="1"/>
  <c r="Z38" i="1"/>
  <c r="AA38" i="1" s="1"/>
  <c r="Y43" i="1"/>
  <c r="Z46" i="1"/>
  <c r="AA46" i="1" s="1"/>
  <c r="Q105" i="1"/>
  <c r="R105" i="1" s="1"/>
  <c r="AH105" i="1" s="1"/>
  <c r="Q89" i="1"/>
  <c r="T89" i="1" s="1"/>
  <c r="Z31" i="1"/>
  <c r="AA31" i="1" s="1"/>
  <c r="Z9" i="1"/>
  <c r="AA9" i="1" s="1"/>
  <c r="Y15" i="1"/>
  <c r="Y36" i="1"/>
  <c r="Q41" i="1"/>
  <c r="R41" i="1" s="1"/>
  <c r="AH41" i="1" s="1"/>
  <c r="Z49" i="1"/>
  <c r="AA49" i="1" s="1"/>
  <c r="Z60" i="1"/>
  <c r="AA60" i="1" s="1"/>
  <c r="Q73" i="1"/>
  <c r="R73" i="1" s="1"/>
  <c r="AH73" i="1" s="1"/>
  <c r="X7" i="1"/>
  <c r="Z15" i="1"/>
  <c r="AA15" i="1" s="1"/>
  <c r="X41" i="1"/>
  <c r="Y55" i="1"/>
  <c r="Q81" i="1"/>
  <c r="U81" i="1" s="1"/>
  <c r="AI81" i="1" s="1"/>
  <c r="AK81" i="1" s="1"/>
  <c r="X81" i="1"/>
  <c r="Y7" i="1"/>
  <c r="Q20" i="1"/>
  <c r="U20" i="1" s="1"/>
  <c r="AI20" i="1" s="1"/>
  <c r="AK20" i="1" s="1"/>
  <c r="Q25" i="1"/>
  <c r="V25" i="1" s="1"/>
  <c r="Q33" i="1"/>
  <c r="V33" i="1" s="1"/>
  <c r="X20" i="1"/>
  <c r="Q29" i="1"/>
  <c r="V29" i="1" s="1"/>
  <c r="X33" i="1"/>
  <c r="X47" i="1"/>
  <c r="Z47" i="1"/>
  <c r="AA47" i="1" s="1"/>
  <c r="Z10" i="1"/>
  <c r="AA10" i="1" s="1"/>
  <c r="Z13" i="1"/>
  <c r="AA13" i="1" s="1"/>
  <c r="Y16" i="1"/>
  <c r="Y18" i="1"/>
  <c r="Y21" i="1"/>
  <c r="Z24" i="1"/>
  <c r="AA24" i="1" s="1"/>
  <c r="Z8" i="1"/>
  <c r="AA8" i="1" s="1"/>
  <c r="Q17" i="1"/>
  <c r="R17" i="1" s="1"/>
  <c r="AH17" i="1" s="1"/>
  <c r="Y39" i="1"/>
  <c r="Q71" i="1"/>
  <c r="Q6" i="1"/>
  <c r="X14" i="1"/>
  <c r="Q13" i="1"/>
  <c r="W13" i="1" s="1"/>
  <c r="Q11" i="1"/>
  <c r="Q16" i="1"/>
  <c r="R16" i="1" s="1"/>
  <c r="AH16" i="1" s="1"/>
  <c r="Y20" i="1"/>
  <c r="Q68" i="1"/>
  <c r="R68" i="1" s="1"/>
  <c r="AH68" i="1" s="1"/>
  <c r="Y6" i="1"/>
  <c r="X22" i="1"/>
  <c r="Q28" i="1"/>
  <c r="V28" i="1" s="1"/>
  <c r="X23" i="1"/>
  <c r="X25" i="1"/>
  <c r="Y26" i="1"/>
  <c r="X28" i="1"/>
  <c r="Y33" i="1"/>
  <c r="Y41" i="1"/>
  <c r="Q44" i="1"/>
  <c r="W44" i="1" s="1"/>
  <c r="Q57" i="1"/>
  <c r="T57" i="1" s="1"/>
  <c r="Q60" i="1"/>
  <c r="U60" i="1" s="1"/>
  <c r="AI60" i="1" s="1"/>
  <c r="AK60" i="1" s="1"/>
  <c r="Q63" i="1"/>
  <c r="T63" i="1" s="1"/>
  <c r="X68" i="1"/>
  <c r="Z71" i="1"/>
  <c r="AA71" i="1" s="1"/>
  <c r="Y76" i="1"/>
  <c r="Y79" i="1"/>
  <c r="Y81" i="1"/>
  <c r="X97" i="1"/>
  <c r="Q18" i="1"/>
  <c r="T18" i="1" s="1"/>
  <c r="X12" i="1"/>
  <c r="Q7" i="1"/>
  <c r="T7" i="1" s="1"/>
  <c r="Q10" i="1"/>
  <c r="Y11" i="1"/>
  <c r="Y12" i="1"/>
  <c r="Q15" i="1"/>
  <c r="R15" i="1" s="1"/>
  <c r="AH15" i="1" s="1"/>
  <c r="X17" i="1"/>
  <c r="Y19" i="1"/>
  <c r="Y23" i="1"/>
  <c r="Y24" i="1"/>
  <c r="Y25" i="1"/>
  <c r="Y28" i="1"/>
  <c r="Q32" i="1"/>
  <c r="V32" i="1" s="1"/>
  <c r="Q47" i="1"/>
  <c r="V47" i="1" s="1"/>
  <c r="Q49" i="1"/>
  <c r="V49" i="1" s="1"/>
  <c r="X63" i="1"/>
  <c r="X65" i="1"/>
  <c r="Y68" i="1"/>
  <c r="X73" i="1"/>
  <c r="Z76" i="1"/>
  <c r="AA76" i="1" s="1"/>
  <c r="Z79" i="1"/>
  <c r="AA79" i="1" s="1"/>
  <c r="X89" i="1"/>
  <c r="Y97" i="1"/>
  <c r="X6" i="1"/>
  <c r="Y14" i="1"/>
  <c r="Q36" i="1"/>
  <c r="Q76" i="1"/>
  <c r="T76" i="1" s="1"/>
  <c r="X11" i="1"/>
  <c r="Y13" i="1"/>
  <c r="X19" i="1"/>
  <c r="Q8" i="1"/>
  <c r="W8" i="1" s="1"/>
  <c r="Z12" i="1"/>
  <c r="AA12" i="1" s="1"/>
  <c r="Q14" i="1"/>
  <c r="S14" i="1" s="1"/>
  <c r="X16" i="1"/>
  <c r="Y17" i="1"/>
  <c r="X18" i="1"/>
  <c r="Z19" i="1"/>
  <c r="AA19" i="1" s="1"/>
  <c r="Q21" i="1"/>
  <c r="V21" i="1" s="1"/>
  <c r="Q23" i="1"/>
  <c r="X30" i="1"/>
  <c r="X31" i="1"/>
  <c r="X44" i="1"/>
  <c r="Q52" i="1"/>
  <c r="Q55" i="1"/>
  <c r="T55" i="1" s="1"/>
  <c r="X57" i="1"/>
  <c r="X60" i="1"/>
  <c r="Y63" i="1"/>
  <c r="Y65" i="1"/>
  <c r="Y73" i="1"/>
  <c r="Y89" i="1"/>
  <c r="X105" i="1"/>
  <c r="X13" i="1"/>
  <c r="X8" i="1"/>
  <c r="X36" i="1"/>
  <c r="X39" i="1"/>
  <c r="X52" i="1"/>
  <c r="X55" i="1"/>
  <c r="Z89" i="1"/>
  <c r="AA89" i="1" s="1"/>
  <c r="X24" i="1"/>
  <c r="Z26" i="1"/>
  <c r="AA26" i="1" s="1"/>
  <c r="Y29" i="1"/>
  <c r="Y32" i="1"/>
  <c r="Z34" i="1"/>
  <c r="AA34" i="1" s="1"/>
  <c r="Z37" i="1"/>
  <c r="AA37" i="1" s="1"/>
  <c r="Z40" i="1"/>
  <c r="AA40" i="1" s="1"/>
  <c r="Q42" i="1"/>
  <c r="R42" i="1" s="1"/>
  <c r="AH42" i="1" s="1"/>
  <c r="Z45" i="1"/>
  <c r="AA45" i="1" s="1"/>
  <c r="X48" i="1"/>
  <c r="Z104" i="1"/>
  <c r="AA104" i="1" s="1"/>
  <c r="Y10" i="1"/>
  <c r="Q39" i="1"/>
  <c r="X71" i="1"/>
  <c r="X79" i="1"/>
  <c r="Z50" i="1"/>
  <c r="AA50" i="1" s="1"/>
  <c r="X50" i="1"/>
  <c r="Z51" i="1"/>
  <c r="AA51" i="1" s="1"/>
  <c r="X51" i="1"/>
  <c r="Z53" i="1"/>
  <c r="AA53" i="1" s="1"/>
  <c r="X53" i="1"/>
  <c r="Z54" i="1"/>
  <c r="AA54" i="1" s="1"/>
  <c r="X54" i="1"/>
  <c r="Z56" i="1"/>
  <c r="AA56" i="1" s="1"/>
  <c r="Y56" i="1"/>
  <c r="Q56" i="1"/>
  <c r="X56" i="1"/>
  <c r="Z58" i="1"/>
  <c r="AA58" i="1" s="1"/>
  <c r="Y58" i="1"/>
  <c r="Q58" i="1"/>
  <c r="X58" i="1"/>
  <c r="Z59" i="1"/>
  <c r="AA59" i="1" s="1"/>
  <c r="Y59" i="1"/>
  <c r="Q59" i="1"/>
  <c r="X59" i="1"/>
  <c r="Z62" i="1"/>
  <c r="AA62" i="1" s="1"/>
  <c r="Y62" i="1"/>
  <c r="Q62" i="1"/>
  <c r="X62" i="1"/>
  <c r="Y64" i="1"/>
  <c r="X64" i="1"/>
  <c r="Z66" i="1"/>
  <c r="AA66" i="1" s="1"/>
  <c r="Q66" i="1"/>
  <c r="Y66" i="1"/>
  <c r="X66" i="1"/>
  <c r="Z67" i="1"/>
  <c r="AA67" i="1" s="1"/>
  <c r="Q67" i="1"/>
  <c r="Y67" i="1"/>
  <c r="Z69" i="1"/>
  <c r="AA69" i="1" s="1"/>
  <c r="Q69" i="1"/>
  <c r="Y69" i="1"/>
  <c r="X69" i="1"/>
  <c r="Z70" i="1"/>
  <c r="AA70" i="1" s="1"/>
  <c r="Q70" i="1"/>
  <c r="Y70" i="1"/>
  <c r="X70" i="1"/>
  <c r="X72" i="1"/>
  <c r="Q72" i="1"/>
  <c r="Z72" i="1"/>
  <c r="AA72" i="1" s="1"/>
  <c r="Y72" i="1"/>
  <c r="X74" i="1"/>
  <c r="Q74" i="1"/>
  <c r="Z74" i="1"/>
  <c r="AA74" i="1" s="1"/>
  <c r="Y74" i="1"/>
  <c r="X75" i="1"/>
  <c r="Q75" i="1"/>
  <c r="Z75" i="1"/>
  <c r="AA75" i="1" s="1"/>
  <c r="Y75" i="1"/>
  <c r="X77" i="1"/>
  <c r="Y77" i="1"/>
  <c r="Q77" i="1"/>
  <c r="X78" i="1"/>
  <c r="Q78" i="1"/>
  <c r="Z78" i="1"/>
  <c r="AA78" i="1" s="1"/>
  <c r="Y78" i="1"/>
  <c r="Z80" i="1"/>
  <c r="AA80" i="1" s="1"/>
  <c r="X80" i="1"/>
  <c r="Y80" i="1"/>
  <c r="Z82" i="1"/>
  <c r="AA82" i="1" s="1"/>
  <c r="X82" i="1"/>
  <c r="Y82" i="1"/>
  <c r="Q82" i="1"/>
  <c r="Z83" i="1"/>
  <c r="AA83" i="1" s="1"/>
  <c r="X83" i="1"/>
  <c r="Y83" i="1"/>
  <c r="Q83" i="1"/>
  <c r="Z85" i="1"/>
  <c r="AA85" i="1" s="1"/>
  <c r="X85" i="1"/>
  <c r="Y85" i="1"/>
  <c r="Q85" i="1"/>
  <c r="Z86" i="1"/>
  <c r="AA86" i="1" s="1"/>
  <c r="X86" i="1"/>
  <c r="Y86" i="1"/>
  <c r="Q86" i="1"/>
  <c r="Z88" i="1"/>
  <c r="AA88" i="1" s="1"/>
  <c r="Y88" i="1"/>
  <c r="Q88" i="1"/>
  <c r="X88" i="1"/>
  <c r="Z90" i="1"/>
  <c r="AA90" i="1" s="1"/>
  <c r="Y90" i="1"/>
  <c r="Q90" i="1"/>
  <c r="X90" i="1"/>
  <c r="Z91" i="1"/>
  <c r="AA91" i="1" s="1"/>
  <c r="Y91" i="1"/>
  <c r="Q91" i="1"/>
  <c r="X91" i="1"/>
  <c r="Z93" i="1"/>
  <c r="AA93" i="1" s="1"/>
  <c r="Y93" i="1"/>
  <c r="Q93" i="1"/>
  <c r="X93" i="1"/>
  <c r="Z94" i="1"/>
  <c r="AA94" i="1" s="1"/>
  <c r="Y94" i="1"/>
  <c r="Q94" i="1"/>
  <c r="X94" i="1"/>
  <c r="Z96" i="1"/>
  <c r="AA96" i="1" s="1"/>
  <c r="Y96" i="1"/>
  <c r="Q96" i="1"/>
  <c r="X96" i="1"/>
  <c r="Z98" i="1"/>
  <c r="AA98" i="1" s="1"/>
  <c r="Y98" i="1"/>
  <c r="Q98" i="1"/>
  <c r="X98" i="1"/>
  <c r="Z99" i="1"/>
  <c r="AA99" i="1" s="1"/>
  <c r="Y99" i="1"/>
  <c r="Q99" i="1"/>
  <c r="X99" i="1"/>
  <c r="Z101" i="1"/>
  <c r="AA101" i="1" s="1"/>
  <c r="Y101" i="1"/>
  <c r="Q101" i="1"/>
  <c r="X101" i="1"/>
  <c r="Z102" i="1"/>
  <c r="AA102" i="1" s="1"/>
  <c r="Y102" i="1"/>
  <c r="Q102" i="1"/>
  <c r="X102" i="1"/>
  <c r="X21" i="1"/>
  <c r="Y22" i="1"/>
  <c r="X29" i="1"/>
  <c r="Y30" i="1"/>
  <c r="X37" i="1"/>
  <c r="Y38" i="1"/>
  <c r="Q46" i="1"/>
  <c r="Q50" i="1"/>
  <c r="Y51" i="1"/>
  <c r="Z61" i="1"/>
  <c r="AA61" i="1" s="1"/>
  <c r="Y61" i="1"/>
  <c r="Q61" i="1"/>
  <c r="X61" i="1"/>
  <c r="Q22" i="1"/>
  <c r="Q30" i="1"/>
  <c r="Y37" i="1"/>
  <c r="Q38" i="1"/>
  <c r="Q43" i="1"/>
  <c r="Q48" i="1"/>
  <c r="Y54" i="1"/>
  <c r="Z77" i="1"/>
  <c r="AA77" i="1" s="1"/>
  <c r="X42" i="1"/>
  <c r="X45" i="1"/>
  <c r="Q53" i="1"/>
  <c r="X34" i="1"/>
  <c r="Y35" i="1"/>
  <c r="Y42" i="1"/>
  <c r="Y45" i="1"/>
  <c r="X46" i="1"/>
  <c r="Y50" i="1"/>
  <c r="X67" i="1"/>
  <c r="Q80" i="1"/>
  <c r="Y34" i="1"/>
  <c r="Q35" i="1"/>
  <c r="X40" i="1"/>
  <c r="Z42" i="1"/>
  <c r="AA42" i="1" s="1"/>
  <c r="Y46" i="1"/>
  <c r="Y48" i="1"/>
  <c r="Y53" i="1"/>
  <c r="Q26" i="1"/>
  <c r="X32" i="1"/>
  <c r="Q34" i="1"/>
  <c r="Y40" i="1"/>
  <c r="X43" i="1"/>
  <c r="Z48" i="1"/>
  <c r="AA48" i="1" s="1"/>
  <c r="Q64" i="1"/>
  <c r="Q51" i="1"/>
  <c r="Z64" i="1"/>
  <c r="AA64" i="1" s="1"/>
  <c r="Z87" i="1"/>
  <c r="AA87" i="1" s="1"/>
  <c r="Y87" i="1"/>
  <c r="Q87" i="1"/>
  <c r="X87" i="1"/>
  <c r="Z95" i="1"/>
  <c r="AA95" i="1" s="1"/>
  <c r="Y95" i="1"/>
  <c r="Q95" i="1"/>
  <c r="X95" i="1"/>
  <c r="Z103" i="1"/>
  <c r="AA103" i="1" s="1"/>
  <c r="Y103" i="1"/>
  <c r="Q103" i="1"/>
  <c r="X103" i="1"/>
  <c r="Z84" i="1"/>
  <c r="AA84" i="1" s="1"/>
  <c r="X84" i="1"/>
  <c r="Z92" i="1"/>
  <c r="AA92" i="1" s="1"/>
  <c r="Y92" i="1"/>
  <c r="Q92" i="1"/>
  <c r="X92" i="1"/>
  <c r="Z100" i="1"/>
  <c r="AA100" i="1" s="1"/>
  <c r="Y100" i="1"/>
  <c r="Q100" i="1"/>
  <c r="X100" i="1"/>
  <c r="X104" i="1"/>
  <c r="Q104" i="1"/>
  <c r="Y104" i="1"/>
  <c r="S36" i="1" l="1"/>
  <c r="T12" i="1"/>
  <c r="W12" i="1"/>
  <c r="U12" i="1"/>
  <c r="AI12" i="1" s="1"/>
  <c r="AK12" i="1" s="1"/>
  <c r="R12" i="1"/>
  <c r="AH12" i="1" s="1"/>
  <c r="V12" i="1"/>
  <c r="S12" i="1"/>
  <c r="W81" i="1"/>
  <c r="R65" i="1"/>
  <c r="AH65" i="1" s="1"/>
  <c r="W54" i="1"/>
  <c r="T73" i="1"/>
  <c r="W65" i="1"/>
  <c r="U65" i="1"/>
  <c r="AI65" i="1" s="1"/>
  <c r="AK65" i="1" s="1"/>
  <c r="V65" i="1"/>
  <c r="V19" i="1"/>
  <c r="V27" i="1"/>
  <c r="T11" i="1"/>
  <c r="V13" i="1"/>
  <c r="U31" i="1"/>
  <c r="S89" i="1"/>
  <c r="U79" i="1"/>
  <c r="AI79" i="1" s="1"/>
  <c r="AK79" i="1" s="1"/>
  <c r="U19" i="1"/>
  <c r="AI19" i="1" s="1"/>
  <c r="AK19" i="1" s="1"/>
  <c r="S19" i="1"/>
  <c r="W19" i="1"/>
  <c r="W36" i="1"/>
  <c r="T27" i="1"/>
  <c r="U24" i="1"/>
  <c r="AI24" i="1" s="1"/>
  <c r="AK24" i="1" s="1"/>
  <c r="U76" i="1"/>
  <c r="AI76" i="1" s="1"/>
  <c r="AK76" i="1" s="1"/>
  <c r="V6" i="1"/>
  <c r="S63" i="1"/>
  <c r="S20" i="1"/>
  <c r="U27" i="1"/>
  <c r="AI27" i="1" s="1"/>
  <c r="AK27" i="1" s="1"/>
  <c r="W79" i="1"/>
  <c r="V24" i="1"/>
  <c r="S97" i="1"/>
  <c r="S73" i="1"/>
  <c r="AL73" i="1" s="1"/>
  <c r="T24" i="1"/>
  <c r="T19" i="1"/>
  <c r="S27" i="1"/>
  <c r="W105" i="1"/>
  <c r="V79" i="1"/>
  <c r="R54" i="1"/>
  <c r="AH54" i="1" s="1"/>
  <c r="S16" i="1"/>
  <c r="S54" i="1"/>
  <c r="T16" i="1"/>
  <c r="V16" i="1"/>
  <c r="T54" i="1"/>
  <c r="R9" i="1"/>
  <c r="AH9" i="1" s="1"/>
  <c r="V54" i="1"/>
  <c r="R6" i="1"/>
  <c r="AH6" i="1" s="1"/>
  <c r="U6" i="1"/>
  <c r="AI6" i="1" s="1"/>
  <c r="AK6" i="1" s="1"/>
  <c r="R8" i="1"/>
  <c r="AH8" i="1" s="1"/>
  <c r="W27" i="1"/>
  <c r="W24" i="1"/>
  <c r="S6" i="1"/>
  <c r="R79" i="1"/>
  <c r="AH79" i="1" s="1"/>
  <c r="S37" i="1"/>
  <c r="R24" i="1"/>
  <c r="AH24" i="1" s="1"/>
  <c r="T6" i="1"/>
  <c r="S9" i="1"/>
  <c r="T9" i="1"/>
  <c r="T8" i="1"/>
  <c r="R76" i="1"/>
  <c r="AH76" i="1" s="1"/>
  <c r="R19" i="1"/>
  <c r="AH19" i="1" s="1"/>
  <c r="W6" i="1"/>
  <c r="S105" i="1"/>
  <c r="T105" i="1"/>
  <c r="S68" i="1"/>
  <c r="T45" i="1"/>
  <c r="W37" i="1"/>
  <c r="W63" i="1"/>
  <c r="R63" i="1"/>
  <c r="AH63" i="1" s="1"/>
  <c r="U55" i="1"/>
  <c r="AK55" i="1" s="1"/>
  <c r="W45" i="1"/>
  <c r="S49" i="1"/>
  <c r="U40" i="1"/>
  <c r="AI40" i="1" s="1"/>
  <c r="AK40" i="1" s="1"/>
  <c r="V40" i="1"/>
  <c r="W97" i="1"/>
  <c r="S45" i="1"/>
  <c r="T79" i="1"/>
  <c r="R45" i="1"/>
  <c r="AH45" i="1" s="1"/>
  <c r="V63" i="1"/>
  <c r="T49" i="1"/>
  <c r="U63" i="1"/>
  <c r="AI63" i="1" s="1"/>
  <c r="AK63" i="1" s="1"/>
  <c r="R52" i="1"/>
  <c r="AH52" i="1" s="1"/>
  <c r="U68" i="1"/>
  <c r="AI68" i="1" s="1"/>
  <c r="AK68" i="1" s="1"/>
  <c r="U57" i="1"/>
  <c r="AI57" i="1" s="1"/>
  <c r="AK57" i="1" s="1"/>
  <c r="S57" i="1"/>
  <c r="R60" i="1"/>
  <c r="AH60" i="1" s="1"/>
  <c r="V68" i="1"/>
  <c r="S8" i="1"/>
  <c r="V84" i="1"/>
  <c r="R57" i="1"/>
  <c r="AH57" i="1" s="1"/>
  <c r="W68" i="1"/>
  <c r="S41" i="1"/>
  <c r="V45" i="1"/>
  <c r="R84" i="1"/>
  <c r="AH84" i="1" s="1"/>
  <c r="U37" i="1"/>
  <c r="AI37" i="1" s="1"/>
  <c r="AK37" i="1" s="1"/>
  <c r="U41" i="1"/>
  <c r="AI41" i="1" s="1"/>
  <c r="AK41" i="1" s="1"/>
  <c r="U33" i="1"/>
  <c r="AI33" i="1" s="1"/>
  <c r="AK33" i="1" s="1"/>
  <c r="V37" i="1"/>
  <c r="W84" i="1"/>
  <c r="T60" i="1"/>
  <c r="S84" i="1"/>
  <c r="T81" i="1"/>
  <c r="T68" i="1"/>
  <c r="T37" i="1"/>
  <c r="V41" i="1"/>
  <c r="U18" i="1"/>
  <c r="AI18" i="1" s="1"/>
  <c r="AK18" i="1" s="1"/>
  <c r="T40" i="1"/>
  <c r="T17" i="1"/>
  <c r="U105" i="1"/>
  <c r="AI105" i="1" s="1"/>
  <c r="AK105" i="1" s="1"/>
  <c r="U9" i="1"/>
  <c r="AI9" i="1" s="1"/>
  <c r="AK9" i="1" s="1"/>
  <c r="U45" i="1"/>
  <c r="AI45" i="1" s="1"/>
  <c r="AK45" i="1" s="1"/>
  <c r="R81" i="1"/>
  <c r="AH81" i="1" s="1"/>
  <c r="T41" i="1"/>
  <c r="R40" i="1"/>
  <c r="AH40" i="1" s="1"/>
  <c r="S81" i="1"/>
  <c r="S40" i="1"/>
  <c r="V81" i="1"/>
  <c r="AL79" i="1"/>
  <c r="T84" i="1"/>
  <c r="V44" i="1"/>
  <c r="W55" i="1"/>
  <c r="U97" i="1"/>
  <c r="AI97" i="1" s="1"/>
  <c r="AK97" i="1" s="1"/>
  <c r="V105" i="1"/>
  <c r="W41" i="1"/>
  <c r="U49" i="1"/>
  <c r="AI49" i="1" s="1"/>
  <c r="AK49" i="1" s="1"/>
  <c r="W76" i="1"/>
  <c r="W33" i="1"/>
  <c r="S47" i="1"/>
  <c r="R14" i="1"/>
  <c r="AH14" i="1" s="1"/>
  <c r="U8" i="1"/>
  <c r="AI8" i="1" s="1"/>
  <c r="AK8" i="1" s="1"/>
  <c r="R44" i="1"/>
  <c r="AH44" i="1" s="1"/>
  <c r="W52" i="1"/>
  <c r="U71" i="1"/>
  <c r="AI71" i="1" s="1"/>
  <c r="AK71" i="1" s="1"/>
  <c r="R55" i="1"/>
  <c r="T47" i="1"/>
  <c r="T33" i="1"/>
  <c r="S33" i="1"/>
  <c r="S76" i="1"/>
  <c r="S55" i="1"/>
  <c r="S44" i="1"/>
  <c r="U47" i="1"/>
  <c r="AI47" i="1" s="1"/>
  <c r="AK47" i="1" s="1"/>
  <c r="V55" i="1"/>
  <c r="V76" i="1"/>
  <c r="R33" i="1"/>
  <c r="AH33" i="1" s="1"/>
  <c r="R97" i="1"/>
  <c r="AH97" i="1" s="1"/>
  <c r="T44" i="1"/>
  <c r="U44" i="1"/>
  <c r="AI44" i="1" s="1"/>
  <c r="AK44" i="1" s="1"/>
  <c r="T25" i="1"/>
  <c r="V97" i="1"/>
  <c r="V9" i="1"/>
  <c r="U52" i="1"/>
  <c r="AI52" i="1" s="1"/>
  <c r="AK52" i="1" s="1"/>
  <c r="T20" i="1"/>
  <c r="R7" i="1"/>
  <c r="AH7" i="1" s="1"/>
  <c r="R31" i="1"/>
  <c r="AH31" i="1" s="1"/>
  <c r="S31" i="1"/>
  <c r="R28" i="1"/>
  <c r="AH28" i="1" s="1"/>
  <c r="V20" i="1"/>
  <c r="R25" i="1"/>
  <c r="AH25" i="1" s="1"/>
  <c r="U89" i="1"/>
  <c r="AI89" i="1" s="1"/>
  <c r="AK89" i="1" s="1"/>
  <c r="W71" i="1"/>
  <c r="V71" i="1"/>
  <c r="V8" i="1"/>
  <c r="U25" i="1"/>
  <c r="AI25" i="1" s="1"/>
  <c r="AK25" i="1" s="1"/>
  <c r="W89" i="1"/>
  <c r="R89" i="1"/>
  <c r="AH89" i="1" s="1"/>
  <c r="R21" i="1"/>
  <c r="AH21" i="1" s="1"/>
  <c r="W11" i="1"/>
  <c r="T21" i="1"/>
  <c r="U28" i="1"/>
  <c r="AI28" i="1" s="1"/>
  <c r="AK28" i="1" s="1"/>
  <c r="V89" i="1"/>
  <c r="W25" i="1"/>
  <c r="V18" i="1"/>
  <c r="R71" i="1"/>
  <c r="AH71" i="1" s="1"/>
  <c r="S71" i="1"/>
  <c r="T71" i="1"/>
  <c r="R20" i="1"/>
  <c r="AH20" i="1" s="1"/>
  <c r="U21" i="1"/>
  <c r="AI21" i="1" s="1"/>
  <c r="AK21" i="1" s="1"/>
  <c r="S42" i="1"/>
  <c r="S65" i="1"/>
  <c r="AL65" i="1" s="1"/>
  <c r="W73" i="1"/>
  <c r="V73" i="1"/>
  <c r="T28" i="1"/>
  <c r="S25" i="1"/>
  <c r="S11" i="1"/>
  <c r="W20" i="1"/>
  <c r="U42" i="1"/>
  <c r="AI42" i="1" s="1"/>
  <c r="AK42" i="1" s="1"/>
  <c r="W31" i="1"/>
  <c r="U73" i="1"/>
  <c r="AI73" i="1" s="1"/>
  <c r="AK73" i="1" s="1"/>
  <c r="T31" i="1"/>
  <c r="S60" i="1"/>
  <c r="S52" i="1"/>
  <c r="U13" i="1"/>
  <c r="AI13" i="1" s="1"/>
  <c r="AK13" i="1" s="1"/>
  <c r="S7" i="1"/>
  <c r="U15" i="1"/>
  <c r="AI15" i="1" s="1"/>
  <c r="AK15" i="1" s="1"/>
  <c r="T52" i="1"/>
  <c r="V11" i="1"/>
  <c r="R11" i="1"/>
  <c r="AH11" i="1" s="1"/>
  <c r="S17" i="1"/>
  <c r="S13" i="1"/>
  <c r="W29" i="1"/>
  <c r="R32" i="1"/>
  <c r="AH32" i="1" s="1"/>
  <c r="V17" i="1"/>
  <c r="U14" i="1"/>
  <c r="AI14" i="1" s="1"/>
  <c r="AK14" i="1" s="1"/>
  <c r="U29" i="1"/>
  <c r="AI29" i="1" s="1"/>
  <c r="AK29" i="1" s="1"/>
  <c r="W17" i="1"/>
  <c r="S32" i="1"/>
  <c r="S15" i="1"/>
  <c r="W15" i="1"/>
  <c r="V52" i="1"/>
  <c r="V15" i="1"/>
  <c r="U32" i="1"/>
  <c r="AI32" i="1" s="1"/>
  <c r="AK32" i="1" s="1"/>
  <c r="T13" i="1"/>
  <c r="S29" i="1"/>
  <c r="T29" i="1"/>
  <c r="U17" i="1"/>
  <c r="AI17" i="1" s="1"/>
  <c r="AK17" i="1" s="1"/>
  <c r="W32" i="1"/>
  <c r="U11" i="1"/>
  <c r="AI11" i="1" s="1"/>
  <c r="AK11" i="1" s="1"/>
  <c r="R29" i="1"/>
  <c r="AH29" i="1" s="1"/>
  <c r="W10" i="1"/>
  <c r="T10" i="1"/>
  <c r="U10" i="1"/>
  <c r="AI10" i="1" s="1"/>
  <c r="AK10" i="1" s="1"/>
  <c r="V42" i="1"/>
  <c r="W16" i="1"/>
  <c r="U16" i="1"/>
  <c r="AI16" i="1" s="1"/>
  <c r="AK16" i="1" s="1"/>
  <c r="T32" i="1"/>
  <c r="W28" i="1"/>
  <c r="W7" i="1"/>
  <c r="V7" i="1"/>
  <c r="U7" i="1"/>
  <c r="AI7" i="1" s="1"/>
  <c r="AK7" i="1" s="1"/>
  <c r="V60" i="1"/>
  <c r="W60" i="1"/>
  <c r="W49" i="1"/>
  <c r="R49" i="1"/>
  <c r="AH49" i="1" s="1"/>
  <c r="V57" i="1"/>
  <c r="W57" i="1"/>
  <c r="R13" i="1"/>
  <c r="AH13" i="1" s="1"/>
  <c r="T42" i="1"/>
  <c r="S28" i="1"/>
  <c r="T14" i="1"/>
  <c r="V14" i="1"/>
  <c r="W14" i="1"/>
  <c r="V36" i="1"/>
  <c r="U36" i="1"/>
  <c r="AI36" i="1" s="1"/>
  <c r="AK36" i="1" s="1"/>
  <c r="T36" i="1"/>
  <c r="R36" i="1"/>
  <c r="AH36" i="1" s="1"/>
  <c r="W47" i="1"/>
  <c r="R47" i="1"/>
  <c r="AH47" i="1" s="1"/>
  <c r="V10" i="1"/>
  <c r="T15" i="1"/>
  <c r="R10" i="1"/>
  <c r="AH10" i="1" s="1"/>
  <c r="W42" i="1"/>
  <c r="V39" i="1"/>
  <c r="W39" i="1"/>
  <c r="R39" i="1"/>
  <c r="AH39" i="1" s="1"/>
  <c r="U39" i="1"/>
  <c r="AI39" i="1" s="1"/>
  <c r="AK39" i="1" s="1"/>
  <c r="S39" i="1"/>
  <c r="T39" i="1"/>
  <c r="V23" i="1"/>
  <c r="T23" i="1"/>
  <c r="R23" i="1"/>
  <c r="AH23" i="1" s="1"/>
  <c r="U23" i="1"/>
  <c r="AI23" i="1" s="1"/>
  <c r="AK23" i="1" s="1"/>
  <c r="W23" i="1"/>
  <c r="S23" i="1"/>
  <c r="S10" i="1"/>
  <c r="W21" i="1"/>
  <c r="S21" i="1"/>
  <c r="W18" i="1"/>
  <c r="R18" i="1"/>
  <c r="AH18" i="1" s="1"/>
  <c r="S18" i="1"/>
  <c r="T77" i="1"/>
  <c r="S77" i="1"/>
  <c r="W77" i="1"/>
  <c r="V77" i="1"/>
  <c r="U77" i="1"/>
  <c r="AI77" i="1" s="1"/>
  <c r="AK77" i="1" s="1"/>
  <c r="R77" i="1"/>
  <c r="AH77" i="1" s="1"/>
  <c r="V51" i="1"/>
  <c r="U51" i="1"/>
  <c r="AI51" i="1" s="1"/>
  <c r="AK51" i="1" s="1"/>
  <c r="T51" i="1"/>
  <c r="S51" i="1"/>
  <c r="R51" i="1"/>
  <c r="AH51" i="1" s="1"/>
  <c r="W51" i="1"/>
  <c r="V26" i="1"/>
  <c r="R26" i="1"/>
  <c r="AH26" i="1" s="1"/>
  <c r="U26" i="1"/>
  <c r="AI26" i="1" s="1"/>
  <c r="AK26" i="1" s="1"/>
  <c r="T26" i="1"/>
  <c r="W26" i="1"/>
  <c r="S26" i="1"/>
  <c r="V53" i="1"/>
  <c r="U53" i="1"/>
  <c r="AI53" i="1" s="1"/>
  <c r="AK53" i="1" s="1"/>
  <c r="T53" i="1"/>
  <c r="S53" i="1"/>
  <c r="R53" i="1"/>
  <c r="AH53" i="1" s="1"/>
  <c r="W53" i="1"/>
  <c r="T66" i="1"/>
  <c r="U66" i="1"/>
  <c r="AI66" i="1" s="1"/>
  <c r="AK66" i="1" s="1"/>
  <c r="S66" i="1"/>
  <c r="R66" i="1"/>
  <c r="AH66" i="1" s="1"/>
  <c r="W66" i="1"/>
  <c r="V66" i="1"/>
  <c r="V35" i="1"/>
  <c r="S35" i="1"/>
  <c r="R35" i="1"/>
  <c r="AH35" i="1" s="1"/>
  <c r="W35" i="1"/>
  <c r="U35" i="1"/>
  <c r="AI35" i="1" s="1"/>
  <c r="AK35" i="1" s="1"/>
  <c r="T35" i="1"/>
  <c r="V30" i="1"/>
  <c r="W30" i="1"/>
  <c r="U30" i="1"/>
  <c r="AI30" i="1" s="1"/>
  <c r="AK30" i="1" s="1"/>
  <c r="T30" i="1"/>
  <c r="S30" i="1"/>
  <c r="R30" i="1"/>
  <c r="AH30" i="1" s="1"/>
  <c r="T85" i="1"/>
  <c r="S85" i="1"/>
  <c r="R85" i="1"/>
  <c r="AH85" i="1" s="1"/>
  <c r="W85" i="1"/>
  <c r="V85" i="1"/>
  <c r="U85" i="1"/>
  <c r="AI85" i="1" s="1"/>
  <c r="AK85" i="1" s="1"/>
  <c r="T82" i="1"/>
  <c r="S82" i="1"/>
  <c r="R82" i="1"/>
  <c r="AH82" i="1" s="1"/>
  <c r="W82" i="1"/>
  <c r="V82" i="1"/>
  <c r="U82" i="1"/>
  <c r="AI82" i="1" s="1"/>
  <c r="AK82" i="1" s="1"/>
  <c r="T75" i="1"/>
  <c r="S75" i="1"/>
  <c r="R75" i="1"/>
  <c r="AH75" i="1" s="1"/>
  <c r="W75" i="1"/>
  <c r="V75" i="1"/>
  <c r="U75" i="1"/>
  <c r="AI75" i="1" s="1"/>
  <c r="AK75" i="1" s="1"/>
  <c r="T72" i="1"/>
  <c r="R72" i="1"/>
  <c r="AH72" i="1" s="1"/>
  <c r="W72" i="1"/>
  <c r="V72" i="1"/>
  <c r="U72" i="1"/>
  <c r="AI72" i="1" s="1"/>
  <c r="AK72" i="1" s="1"/>
  <c r="S72" i="1"/>
  <c r="T69" i="1"/>
  <c r="R69" i="1"/>
  <c r="AH69" i="1" s="1"/>
  <c r="W69" i="1"/>
  <c r="V69" i="1"/>
  <c r="U69" i="1"/>
  <c r="AI69" i="1" s="1"/>
  <c r="AK69" i="1" s="1"/>
  <c r="S69" i="1"/>
  <c r="V59" i="1"/>
  <c r="U59" i="1"/>
  <c r="AI59" i="1" s="1"/>
  <c r="AK59" i="1" s="1"/>
  <c r="T59" i="1"/>
  <c r="S59" i="1"/>
  <c r="R59" i="1"/>
  <c r="AH59" i="1" s="1"/>
  <c r="W59" i="1"/>
  <c r="V56" i="1"/>
  <c r="U56" i="1"/>
  <c r="AI56" i="1" s="1"/>
  <c r="AK56" i="1" s="1"/>
  <c r="T56" i="1"/>
  <c r="S56" i="1"/>
  <c r="R56" i="1"/>
  <c r="AH56" i="1" s="1"/>
  <c r="W56" i="1"/>
  <c r="T104" i="1"/>
  <c r="S104" i="1"/>
  <c r="R104" i="1"/>
  <c r="AH104" i="1" s="1"/>
  <c r="AL104" i="1"/>
  <c r="W104" i="1"/>
  <c r="V104" i="1"/>
  <c r="U104" i="1"/>
  <c r="AI104" i="1" s="1"/>
  <c r="AK104" i="1" s="1"/>
  <c r="V46" i="1"/>
  <c r="U46" i="1"/>
  <c r="AI46" i="1" s="1"/>
  <c r="AK46" i="1" s="1"/>
  <c r="T46" i="1"/>
  <c r="S46" i="1"/>
  <c r="W46" i="1"/>
  <c r="R46" i="1"/>
  <c r="AH46" i="1" s="1"/>
  <c r="T92" i="1"/>
  <c r="S92" i="1"/>
  <c r="R92" i="1"/>
  <c r="AH92" i="1" s="1"/>
  <c r="W92" i="1"/>
  <c r="V92" i="1"/>
  <c r="U92" i="1"/>
  <c r="AI92" i="1" s="1"/>
  <c r="AK92" i="1" s="1"/>
  <c r="T103" i="1"/>
  <c r="AL103" i="1" s="1"/>
  <c r="S103" i="1"/>
  <c r="R103" i="1"/>
  <c r="AH103" i="1" s="1"/>
  <c r="W103" i="1"/>
  <c r="V103" i="1"/>
  <c r="U103" i="1"/>
  <c r="AI103" i="1" s="1"/>
  <c r="AK103" i="1" s="1"/>
  <c r="T87" i="1"/>
  <c r="S87" i="1"/>
  <c r="R87" i="1"/>
  <c r="AH87" i="1" s="1"/>
  <c r="W87" i="1"/>
  <c r="V87" i="1"/>
  <c r="U87" i="1"/>
  <c r="AI87" i="1" s="1"/>
  <c r="AK87" i="1" s="1"/>
  <c r="V50" i="1"/>
  <c r="U50" i="1"/>
  <c r="AI50" i="1" s="1"/>
  <c r="AK50" i="1" s="1"/>
  <c r="T50" i="1"/>
  <c r="S50" i="1"/>
  <c r="W50" i="1"/>
  <c r="R50" i="1"/>
  <c r="AH50" i="1" s="1"/>
  <c r="T101" i="1"/>
  <c r="S101" i="1"/>
  <c r="R101" i="1"/>
  <c r="AH101" i="1" s="1"/>
  <c r="U101" i="1"/>
  <c r="AI101" i="1" s="1"/>
  <c r="AK101" i="1" s="1"/>
  <c r="W101" i="1"/>
  <c r="V101" i="1"/>
  <c r="T98" i="1"/>
  <c r="S98" i="1"/>
  <c r="R98" i="1"/>
  <c r="AH98" i="1" s="1"/>
  <c r="W98" i="1"/>
  <c r="V98" i="1"/>
  <c r="U98" i="1"/>
  <c r="AI98" i="1" s="1"/>
  <c r="AK98" i="1" s="1"/>
  <c r="T94" i="1"/>
  <c r="S94" i="1"/>
  <c r="AL94" i="1" s="1"/>
  <c r="R94" i="1"/>
  <c r="AH94" i="1" s="1"/>
  <c r="W94" i="1"/>
  <c r="V94" i="1"/>
  <c r="U94" i="1"/>
  <c r="AI94" i="1" s="1"/>
  <c r="AK94" i="1" s="1"/>
  <c r="T91" i="1"/>
  <c r="S91" i="1"/>
  <c r="R91" i="1"/>
  <c r="AH91" i="1" s="1"/>
  <c r="U91" i="1"/>
  <c r="AI91" i="1" s="1"/>
  <c r="AK91" i="1" s="1"/>
  <c r="W91" i="1"/>
  <c r="V91" i="1"/>
  <c r="T88" i="1"/>
  <c r="S88" i="1"/>
  <c r="R88" i="1"/>
  <c r="AH88" i="1" s="1"/>
  <c r="W88" i="1"/>
  <c r="V88" i="1"/>
  <c r="U88" i="1"/>
  <c r="AI88" i="1" s="1"/>
  <c r="AK88" i="1" s="1"/>
  <c r="T78" i="1"/>
  <c r="S78" i="1"/>
  <c r="V78" i="1"/>
  <c r="U78" i="1"/>
  <c r="AI78" i="1" s="1"/>
  <c r="AK78" i="1" s="1"/>
  <c r="R78" i="1"/>
  <c r="AH78" i="1" s="1"/>
  <c r="W78" i="1"/>
  <c r="T64" i="1"/>
  <c r="W64" i="1"/>
  <c r="V64" i="1"/>
  <c r="U64" i="1"/>
  <c r="AI64" i="1" s="1"/>
  <c r="AK64" i="1" s="1"/>
  <c r="S64" i="1"/>
  <c r="R64" i="1"/>
  <c r="AH64" i="1" s="1"/>
  <c r="V22" i="1"/>
  <c r="W22" i="1"/>
  <c r="U22" i="1"/>
  <c r="AI22" i="1" s="1"/>
  <c r="AK22" i="1" s="1"/>
  <c r="R22" i="1"/>
  <c r="AH22" i="1" s="1"/>
  <c r="S22" i="1"/>
  <c r="T22" i="1"/>
  <c r="T67" i="1"/>
  <c r="W67" i="1"/>
  <c r="V67" i="1"/>
  <c r="U67" i="1"/>
  <c r="AI67" i="1" s="1"/>
  <c r="AK67" i="1" s="1"/>
  <c r="S67" i="1"/>
  <c r="R67" i="1"/>
  <c r="AH67" i="1" s="1"/>
  <c r="T80" i="1"/>
  <c r="S80" i="1"/>
  <c r="W80" i="1"/>
  <c r="V80" i="1"/>
  <c r="U80" i="1"/>
  <c r="AI80" i="1" s="1"/>
  <c r="AK80" i="1" s="1"/>
  <c r="R80" i="1"/>
  <c r="AH80" i="1" s="1"/>
  <c r="T70" i="1"/>
  <c r="U70" i="1"/>
  <c r="AI70" i="1" s="1"/>
  <c r="AK70" i="1" s="1"/>
  <c r="S70" i="1"/>
  <c r="R70" i="1"/>
  <c r="AH70" i="1" s="1"/>
  <c r="W70" i="1"/>
  <c r="V70" i="1"/>
  <c r="V34" i="1"/>
  <c r="R34" i="1"/>
  <c r="AH34" i="1" s="1"/>
  <c r="W34" i="1"/>
  <c r="U34" i="1"/>
  <c r="AI34" i="1" s="1"/>
  <c r="AK34" i="1" s="1"/>
  <c r="T34" i="1"/>
  <c r="S34" i="1"/>
  <c r="V48" i="1"/>
  <c r="U48" i="1"/>
  <c r="AI48" i="1" s="1"/>
  <c r="AK48" i="1" s="1"/>
  <c r="T48" i="1"/>
  <c r="S48" i="1"/>
  <c r="W48" i="1"/>
  <c r="R48" i="1"/>
  <c r="AH48" i="1" s="1"/>
  <c r="V38" i="1"/>
  <c r="W38" i="1"/>
  <c r="U38" i="1"/>
  <c r="AI38" i="1" s="1"/>
  <c r="AK38" i="1" s="1"/>
  <c r="T38" i="1"/>
  <c r="S38" i="1"/>
  <c r="R38" i="1"/>
  <c r="AH38" i="1" s="1"/>
  <c r="V61" i="1"/>
  <c r="U61" i="1"/>
  <c r="AI61" i="1" s="1"/>
  <c r="AK61" i="1" s="1"/>
  <c r="T61" i="1"/>
  <c r="S61" i="1"/>
  <c r="R61" i="1"/>
  <c r="AH61" i="1" s="1"/>
  <c r="W61" i="1"/>
  <c r="T86" i="1"/>
  <c r="S86" i="1"/>
  <c r="R86" i="1"/>
  <c r="AH86" i="1" s="1"/>
  <c r="W86" i="1"/>
  <c r="V86" i="1"/>
  <c r="U86" i="1"/>
  <c r="AI86" i="1" s="1"/>
  <c r="AK86" i="1" s="1"/>
  <c r="T83" i="1"/>
  <c r="S83" i="1"/>
  <c r="R83" i="1"/>
  <c r="AH83" i="1" s="1"/>
  <c r="W83" i="1"/>
  <c r="V83" i="1"/>
  <c r="U83" i="1"/>
  <c r="AI83" i="1" s="1"/>
  <c r="AK83" i="1" s="1"/>
  <c r="T74" i="1"/>
  <c r="S74" i="1"/>
  <c r="V74" i="1"/>
  <c r="U74" i="1"/>
  <c r="AI74" i="1" s="1"/>
  <c r="AK74" i="1" s="1"/>
  <c r="R74" i="1"/>
  <c r="AH74" i="1" s="1"/>
  <c r="W74" i="1"/>
  <c r="V62" i="1"/>
  <c r="U62" i="1"/>
  <c r="AI62" i="1" s="1"/>
  <c r="AK62" i="1" s="1"/>
  <c r="T62" i="1"/>
  <c r="S62" i="1"/>
  <c r="R62" i="1"/>
  <c r="AH62" i="1" s="1"/>
  <c r="W62" i="1"/>
  <c r="V58" i="1"/>
  <c r="U58" i="1"/>
  <c r="AI58" i="1" s="1"/>
  <c r="AK58" i="1" s="1"/>
  <c r="T58" i="1"/>
  <c r="AL58" i="1" s="1"/>
  <c r="S58" i="1"/>
  <c r="R58" i="1"/>
  <c r="AH58" i="1" s="1"/>
  <c r="W58" i="1"/>
  <c r="T100" i="1"/>
  <c r="S100" i="1"/>
  <c r="R100" i="1"/>
  <c r="AH100" i="1" s="1"/>
  <c r="W100" i="1"/>
  <c r="V100" i="1"/>
  <c r="U100" i="1"/>
  <c r="AI100" i="1" s="1"/>
  <c r="AK100" i="1" s="1"/>
  <c r="T95" i="1"/>
  <c r="AL95" i="1" s="1"/>
  <c r="S95" i="1"/>
  <c r="R95" i="1"/>
  <c r="AH95" i="1" s="1"/>
  <c r="U95" i="1"/>
  <c r="AI95" i="1" s="1"/>
  <c r="AK95" i="1" s="1"/>
  <c r="W95" i="1"/>
  <c r="V95" i="1"/>
  <c r="T102" i="1"/>
  <c r="S102" i="1"/>
  <c r="R102" i="1"/>
  <c r="AH102" i="1" s="1"/>
  <c r="W102" i="1"/>
  <c r="V102" i="1"/>
  <c r="U102" i="1"/>
  <c r="AI102" i="1" s="1"/>
  <c r="AK102" i="1" s="1"/>
  <c r="T99" i="1"/>
  <c r="AL99" i="1" s="1"/>
  <c r="S99" i="1"/>
  <c r="R99" i="1"/>
  <c r="AH99" i="1" s="1"/>
  <c r="W99" i="1"/>
  <c r="V99" i="1"/>
  <c r="U99" i="1"/>
  <c r="AI99" i="1" s="1"/>
  <c r="AK99" i="1" s="1"/>
  <c r="T96" i="1"/>
  <c r="S96" i="1"/>
  <c r="R96" i="1"/>
  <c r="AH96" i="1" s="1"/>
  <c r="W96" i="1"/>
  <c r="V96" i="1"/>
  <c r="U96" i="1"/>
  <c r="AI96" i="1" s="1"/>
  <c r="AK96" i="1" s="1"/>
  <c r="T93" i="1"/>
  <c r="S93" i="1"/>
  <c r="R93" i="1"/>
  <c r="AH93" i="1" s="1"/>
  <c r="AL93" i="1"/>
  <c r="W93" i="1"/>
  <c r="V93" i="1"/>
  <c r="U93" i="1"/>
  <c r="AI93" i="1" s="1"/>
  <c r="AK93" i="1" s="1"/>
  <c r="T90" i="1"/>
  <c r="S90" i="1"/>
  <c r="R90" i="1"/>
  <c r="AH90" i="1" s="1"/>
  <c r="W90" i="1"/>
  <c r="V90" i="1"/>
  <c r="U90" i="1"/>
  <c r="AI90" i="1" s="1"/>
  <c r="AK90" i="1" s="1"/>
  <c r="V43" i="1"/>
  <c r="U43" i="1"/>
  <c r="AI43" i="1" s="1"/>
  <c r="AK43" i="1" s="1"/>
  <c r="S43" i="1"/>
  <c r="W43" i="1"/>
  <c r="T43" i="1"/>
  <c r="R43" i="1"/>
  <c r="AH43" i="1" s="1"/>
  <c r="AL100" i="1" l="1"/>
  <c r="AL88" i="1"/>
  <c r="AL76" i="1"/>
  <c r="AL63" i="1"/>
  <c r="AL82" i="1"/>
  <c r="AL54" i="1"/>
  <c r="AL89" i="1"/>
  <c r="AL57" i="1"/>
  <c r="AL105" i="1"/>
  <c r="AI31" i="1"/>
  <c r="AK31" i="1" s="1"/>
  <c r="AL84" i="1"/>
  <c r="AL90" i="1"/>
  <c r="AL85" i="1"/>
  <c r="AL98" i="1"/>
  <c r="AL102" i="1"/>
  <c r="AL61" i="1"/>
  <c r="AL97" i="1"/>
  <c r="AL40" i="1"/>
  <c r="AL87" i="1"/>
  <c r="AL64" i="1"/>
  <c r="AL62" i="1"/>
  <c r="AL60" i="1"/>
  <c r="AL68" i="1"/>
  <c r="AL34" i="1"/>
  <c r="AL80" i="1"/>
  <c r="AL55" i="1"/>
  <c r="AL77" i="1"/>
  <c r="AL69" i="1"/>
  <c r="AL59" i="1"/>
  <c r="AL83" i="1"/>
  <c r="AL92" i="1"/>
  <c r="AL101" i="1"/>
  <c r="AL96" i="1"/>
  <c r="AL91" i="1"/>
  <c r="AL81" i="1"/>
  <c r="AL86" i="1"/>
  <c r="AL75" i="1"/>
  <c r="AL70" i="1"/>
  <c r="AL74" i="1"/>
  <c r="AL78" i="1"/>
  <c r="AL72" i="1"/>
  <c r="AL67" i="1"/>
  <c r="AL71" i="1"/>
  <c r="AL66" i="1"/>
  <c r="AL56" i="1"/>
  <c r="AL50" i="1"/>
  <c r="AL45" i="1"/>
  <c r="AL27" i="1"/>
  <c r="AL35" i="1"/>
  <c r="AL44" i="1"/>
  <c r="AL33" i="1"/>
  <c r="AL53" i="1"/>
  <c r="AL31" i="1"/>
  <c r="AL42" i="1"/>
  <c r="AL38" i="1"/>
  <c r="AL49" i="1"/>
  <c r="AL39" i="1"/>
  <c r="AL48" i="1"/>
  <c r="AL43" i="1"/>
  <c r="AL52" i="1"/>
  <c r="AL37" i="1"/>
  <c r="AL8" i="1"/>
  <c r="AL47" i="1"/>
  <c r="AL24" i="1"/>
  <c r="AL23" i="1"/>
  <c r="AL20" i="1"/>
  <c r="AL46" i="1"/>
  <c r="AL29" i="1"/>
  <c r="AL30" i="1"/>
  <c r="AL32" i="1"/>
  <c r="AL51" i="1"/>
  <c r="AL41" i="1"/>
  <c r="AL36" i="1"/>
  <c r="AL25" i="1"/>
  <c r="AL15" i="1"/>
  <c r="AL10" i="1"/>
  <c r="AL18" i="1"/>
  <c r="AL19" i="1"/>
  <c r="AL14" i="1"/>
  <c r="AL9" i="1"/>
  <c r="AL28" i="1"/>
  <c r="AL13" i="1"/>
  <c r="AL22" i="1"/>
  <c r="AL17" i="1"/>
  <c r="AL12" i="1"/>
  <c r="AL7" i="1"/>
  <c r="AL26" i="1"/>
  <c r="AL21" i="1"/>
  <c r="AL16" i="1"/>
  <c r="AL11" i="1"/>
  <c r="AL6" i="1"/>
</calcChain>
</file>

<file path=xl/sharedStrings.xml><?xml version="1.0" encoding="utf-8"?>
<sst xmlns="http://schemas.openxmlformats.org/spreadsheetml/2006/main" count="1858" uniqueCount="171">
  <si>
    <t>HHCRSP Experiment Results</t>
  </si>
  <si>
    <t>Instance</t>
  </si>
  <si>
    <t>Instance Seed</t>
  </si>
  <si>
    <t>Patients</t>
  </si>
  <si>
    <t>Caregivers</t>
  </si>
  <si>
    <t>Services</t>
  </si>
  <si>
    <t>Dynamic %</t>
  </si>
  <si>
    <t>Dynamic Requests</t>
  </si>
  <si>
    <t>Advance Requests</t>
  </si>
  <si>
    <t>Sync %</t>
  </si>
  <si>
    <t>Sync Requests</t>
  </si>
  <si>
    <t>Gurobi ZT</t>
  </si>
  <si>
    <t>Gurobi Zd</t>
  </si>
  <si>
    <t>Gurobi Zu</t>
  </si>
  <si>
    <t>Gurobi Uncovered</t>
  </si>
  <si>
    <t>Gurobi Runtime (s)</t>
  </si>
  <si>
    <t>GA Best ZT</t>
  </si>
  <si>
    <t>GA Best Zd</t>
  </si>
  <si>
    <t>GA Best Zu</t>
  </si>
  <si>
    <t>GA Best Uncovered</t>
  </si>
  <si>
    <t>GA Best Runtime (s)</t>
  </si>
  <si>
    <t>GA Gap (%)</t>
  </si>
  <si>
    <t>GA Mean ZT</t>
  </si>
  <si>
    <t>GA SD ZT</t>
  </si>
  <si>
    <t>Valid GA Runs</t>
  </si>
  <si>
    <t>GA Mean Runtime (s)</t>
  </si>
  <si>
    <t>RH ZT</t>
  </si>
  <si>
    <t>RH Zd</t>
  </si>
  <si>
    <t>RH Zu</t>
  </si>
  <si>
    <t>RH Uncovered</t>
  </si>
  <si>
    <t>RH Runtime (s)</t>
  </si>
  <si>
    <t>Delay Reduction (%)</t>
  </si>
  <si>
    <t>GA Coverage (%)</t>
  </si>
  <si>
    <t>RH Coverage (%)</t>
  </si>
  <si>
    <t>Coverage Gain (pp)</t>
  </si>
  <si>
    <t>GA Objective Check</t>
  </si>
  <si>
    <t>Notes</t>
  </si>
  <si>
    <t>20-1-1</t>
  </si>
  <si>
    <t>20-1-2</t>
  </si>
  <si>
    <t>20-1-3</t>
  </si>
  <si>
    <t>20-1-4</t>
  </si>
  <si>
    <t>20-1-5</t>
  </si>
  <si>
    <t>20-2-1</t>
  </si>
  <si>
    <t>20-2-2</t>
  </si>
  <si>
    <t>20-2-3</t>
  </si>
  <si>
    <t>20-2-4</t>
  </si>
  <si>
    <t>20-2-5</t>
  </si>
  <si>
    <t>20-3-1</t>
  </si>
  <si>
    <t>20-3-2</t>
  </si>
  <si>
    <t>20-3-3</t>
  </si>
  <si>
    <t>20-3-4</t>
  </si>
  <si>
    <t>20-3-5</t>
  </si>
  <si>
    <t>20-4-1</t>
  </si>
  <si>
    <t>20-4-2</t>
  </si>
  <si>
    <t>20-4-3</t>
  </si>
  <si>
    <t>20-4-4</t>
  </si>
  <si>
    <t>20-4-5</t>
  </si>
  <si>
    <t>20-5-1</t>
  </si>
  <si>
    <t>20-5-2</t>
  </si>
  <si>
    <t>20-5-3</t>
  </si>
  <si>
    <t>20-5-4</t>
  </si>
  <si>
    <t>20-5-5</t>
  </si>
  <si>
    <t>40-1-1</t>
  </si>
  <si>
    <t>4 (4A)</t>
  </si>
  <si>
    <t>40-1-2</t>
  </si>
  <si>
    <t>40-1-3</t>
  </si>
  <si>
    <t>4 (2A + 2D)</t>
  </si>
  <si>
    <t>40-1-4</t>
  </si>
  <si>
    <t>40-1-5</t>
  </si>
  <si>
    <t>N/A</t>
  </si>
  <si>
    <t>40-2-1</t>
  </si>
  <si>
    <t>1 (1A)</t>
  </si>
  <si>
    <t>40-2-2</t>
  </si>
  <si>
    <t>40-2-3</t>
  </si>
  <si>
    <t>1 (1D)</t>
  </si>
  <si>
    <t>40-2-4</t>
  </si>
  <si>
    <t>40-2-5</t>
  </si>
  <si>
    <t>40-3-1</t>
  </si>
  <si>
    <t>3 (3A)</t>
  </si>
  <si>
    <t>40-3-2</t>
  </si>
  <si>
    <t>3 (2A + 1D)</t>
  </si>
  <si>
    <t>40-3-3</t>
  </si>
  <si>
    <t>2 (2A)</t>
  </si>
  <si>
    <t>40-3-4</t>
  </si>
  <si>
    <t>40-3-5</t>
  </si>
  <si>
    <t>40-4-1</t>
  </si>
  <si>
    <t>40-4-2</t>
  </si>
  <si>
    <t>2 (1A+ 1D)</t>
  </si>
  <si>
    <t>40-4-3</t>
  </si>
  <si>
    <t>40-4-4</t>
  </si>
  <si>
    <t>2 (1A + 1D)</t>
  </si>
  <si>
    <t>40-4-5</t>
  </si>
  <si>
    <t>40-5-1</t>
  </si>
  <si>
    <t>40-5-2</t>
  </si>
  <si>
    <t>40-5-3</t>
  </si>
  <si>
    <t>40-5-4</t>
  </si>
  <si>
    <t>40-5-5</t>
  </si>
  <si>
    <t>60-1-1</t>
  </si>
  <si>
    <t>60-1-2</t>
  </si>
  <si>
    <t>3 (1A+2D)</t>
  </si>
  <si>
    <t>60-1-3</t>
  </si>
  <si>
    <t>60-1-4</t>
  </si>
  <si>
    <t>3 (3D)</t>
  </si>
  <si>
    <t>60-1-5</t>
  </si>
  <si>
    <t>60-2-1</t>
  </si>
  <si>
    <t>60-2-2</t>
  </si>
  <si>
    <t>60-2-3</t>
  </si>
  <si>
    <t>60-2-4</t>
  </si>
  <si>
    <t>60-2-5</t>
  </si>
  <si>
    <t>60-3-1</t>
  </si>
  <si>
    <t>60-3-2</t>
  </si>
  <si>
    <t>4 (3A + 1D)</t>
  </si>
  <si>
    <t>60-3-3</t>
  </si>
  <si>
    <t>60-3-4</t>
  </si>
  <si>
    <t>60-3-5</t>
  </si>
  <si>
    <t>60-4-1</t>
  </si>
  <si>
    <t>60-4-2</t>
  </si>
  <si>
    <t>60-4-3</t>
  </si>
  <si>
    <t>60-4-4</t>
  </si>
  <si>
    <t>60-4-5</t>
  </si>
  <si>
    <t>60-5-1</t>
  </si>
  <si>
    <t>5 (5A)</t>
  </si>
  <si>
    <t>60-5-2</t>
  </si>
  <si>
    <t>5 (3D+2A)</t>
  </si>
  <si>
    <t>60-5-3</t>
  </si>
  <si>
    <t>4 (1A + 2D)</t>
  </si>
  <si>
    <t>60-5-4</t>
  </si>
  <si>
    <t>5 (5D)</t>
  </si>
  <si>
    <t>60-5-5</t>
  </si>
  <si>
    <t>80-1-1</t>
  </si>
  <si>
    <t>80-1-2</t>
  </si>
  <si>
    <t>80-1-3</t>
  </si>
  <si>
    <t>80-1-4</t>
  </si>
  <si>
    <t>80-1-5</t>
  </si>
  <si>
    <t>80-2-1</t>
  </si>
  <si>
    <t>80-2-2</t>
  </si>
  <si>
    <t>80-2-3</t>
  </si>
  <si>
    <t>80-2-4</t>
  </si>
  <si>
    <t>80-2-5</t>
  </si>
  <si>
    <t>80-3-1</t>
  </si>
  <si>
    <t>80-3-2</t>
  </si>
  <si>
    <t>80-3-3</t>
  </si>
  <si>
    <t>80-3-4</t>
  </si>
  <si>
    <t>80-3-5</t>
  </si>
  <si>
    <t>80-4-1</t>
  </si>
  <si>
    <t>80-4-2</t>
  </si>
  <si>
    <t>80-4-3</t>
  </si>
  <si>
    <t>80-4-4</t>
  </si>
  <si>
    <t>80-4-5</t>
  </si>
  <si>
    <t>80-5-1</t>
  </si>
  <si>
    <t>80-5-2</t>
  </si>
  <si>
    <t>80-5-3</t>
  </si>
  <si>
    <t>80-5-4</t>
  </si>
  <si>
    <t>80-5-5</t>
  </si>
  <si>
    <t>GA Replications</t>
  </si>
  <si>
    <t>Enter one row per run. A run is used in the Results summary only when Feasible and Validator Passed are both Yes.</t>
  </si>
  <si>
    <t>Run</t>
  </si>
  <si>
    <t>GA Seed</t>
  </si>
  <si>
    <t>ZT</t>
  </si>
  <si>
    <t>Zd</t>
  </si>
  <si>
    <t>Zu</t>
  </si>
  <si>
    <t>Uncovered</t>
  </si>
  <si>
    <t>Runtime (s)</t>
  </si>
  <si>
    <t>Feasible</t>
  </si>
  <si>
    <t>Validator Passed</t>
  </si>
  <si>
    <t>Eligible ZT</t>
  </si>
  <si>
    <t>Gurobi Zt2</t>
  </si>
  <si>
    <t>GA Best Zt3</t>
  </si>
  <si>
    <t>RH Zt4</t>
  </si>
  <si>
    <t>Zt2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</si>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</sst>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sz val="10"/>
      <color rgb="FF1F1F1F"/>
      <name val="Arial"/>
    </font>
    <font>
      <b/>
      <sz val="10"/>
      <color rgb="FF1F1F1F"/>
      <name val="Arial"/>
    </font>
    <font>
      <i/>
      <sz val="10"/>
      <color rgb="FF1F1F1F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EAF3F8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7" borderId="2" xfId="0" applyFont="1" applyFill="1" applyBorder="1"/>
    <xf numFmtId="0" fontId="1" fillId="8" borderId="2" xfId="0" applyFont="1" applyFill="1" applyBorder="1"/>
    <xf numFmtId="0" fontId="1" fillId="4" borderId="2" xfId="0" applyFont="1" applyFill="1" applyBorder="1"/>
    <xf numFmtId="0" fontId="1" fillId="7" borderId="3" xfId="0" applyFont="1" applyFill="1" applyBorder="1"/>
    <xf numFmtId="0" fontId="1" fillId="8" borderId="3" xfId="0" applyFont="1" applyFill="1" applyBorder="1"/>
    <xf numFmtId="0" fontId="1" fillId="4" borderId="3" xfId="0" applyFont="1" applyFill="1" applyBorder="1"/>
    <xf numFmtId="9" fontId="1" fillId="7" borderId="2" xfId="0" applyNumberFormat="1" applyFont="1" applyFill="1" applyBorder="1"/>
    <xf numFmtId="9" fontId="1" fillId="7" borderId="3" xfId="0" applyNumberFormat="1" applyFont="1" applyFill="1" applyBorder="1"/>
    <xf numFmtId="164" fontId="1" fillId="7" borderId="2" xfId="0" applyNumberFormat="1" applyFont="1" applyFill="1" applyBorder="1"/>
    <xf numFmtId="2" fontId="1" fillId="8" borderId="2" xfId="0" applyNumberFormat="1" applyFont="1" applyFill="1" applyBorder="1"/>
    <xf numFmtId="2" fontId="1" fillId="8" borderId="3" xfId="0" applyNumberFormat="1" applyFont="1" applyFill="1" applyBorder="1"/>
    <xf numFmtId="2" fontId="1" fillId="4" borderId="2" xfId="0" applyNumberFormat="1" applyFont="1" applyFill="1" applyBorder="1"/>
    <xf numFmtId="2" fontId="1" fillId="4" borderId="3" xfId="0" applyNumberFormat="1" applyFont="1" applyFill="1" applyBorder="1"/>
    <xf numFmtId="1" fontId="1" fillId="8" borderId="2" xfId="0" applyNumberFormat="1" applyFont="1" applyFill="1" applyBorder="1"/>
    <xf numFmtId="1" fontId="1" fillId="8" borderId="3" xfId="0" applyNumberFormat="1" applyFont="1" applyFill="1" applyBorder="1"/>
    <xf numFmtId="0" fontId="5" fillId="9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1" fontId="1" fillId="4" borderId="2" xfId="0" applyNumberFormat="1" applyFont="1" applyFill="1" applyBorder="1"/>
    <xf numFmtId="1" fontId="1" fillId="4" borderId="3" xfId="0" applyNumberFormat="1" applyFont="1" applyFill="1" applyBorder="1"/>
    <xf numFmtId="2" fontId="0" fillId="0" borderId="0" xfId="0" applyNumberFormat="1"/>
    <xf numFmtId="0" fontId="6" fillId="4" borderId="2" xfId="0" applyFont="1" applyFill="1" applyBorder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sTable" displayName="ResultsTable" ref="A5:AM106" totalsRowCount="1">
  <tableColumns count="39">
    <tableColumn id="1" xr3:uid="{00000000-0010-0000-0000-000001000000}" name="Instance"/>
    <tableColumn id="2" xr3:uid="{00000000-0010-0000-0000-000002000000}" name="Instance Seed"/>
    <tableColumn id="3" xr3:uid="{00000000-0010-0000-0000-000003000000}" name="Patients"/>
    <tableColumn id="4" xr3:uid="{00000000-0010-0000-0000-000004000000}" name="Caregivers"/>
    <tableColumn id="5" xr3:uid="{00000000-0010-0000-0000-000005000000}" name="Services"/>
    <tableColumn id="6" xr3:uid="{00000000-0010-0000-0000-000006000000}" name="Dynamic %"/>
    <tableColumn id="7" xr3:uid="{00000000-0010-0000-0000-000007000000}" name="Dynamic Requests"/>
    <tableColumn id="8" xr3:uid="{00000000-0010-0000-0000-000008000000}" name="Advance Requests"/>
    <tableColumn id="9" xr3:uid="{00000000-0010-0000-0000-000009000000}" name="Sync %"/>
    <tableColumn id="10" xr3:uid="{00000000-0010-0000-0000-00000A000000}" name="Sync Requests"/>
    <tableColumn id="11" xr3:uid="{00000000-0010-0000-0000-00000B000000}" name="Gurobi ZT"/>
    <tableColumn id="12" xr3:uid="{00000000-0010-0000-0000-00000C000000}" name="Gurobi Zd"/>
    <tableColumn id="13" xr3:uid="{00000000-0010-0000-0000-00000D000000}" name="Gurobi Zt2"/>
    <tableColumn id="14" xr3:uid="{00000000-0010-0000-0000-00000E000000}" name="Gurobi Zu"/>
    <tableColumn id="15" xr3:uid="{00000000-0010-0000-0000-00000F000000}" name="Gurobi Uncovered"/>
    <tableColumn id="16" xr3:uid="{00000000-0010-0000-0000-000010000000}" name="Gurobi Runtime (s)"/>
    <tableColumn id="17" xr3:uid="{00000000-0010-0000-0000-000011000000}" name="GA Best ZT"/>
    <tableColumn id="18" xr3:uid="{00000000-0010-0000-0000-000012000000}" name="GA Best Zd"/>
    <tableColumn id="19" xr3:uid="{00000000-0010-0000-0000-000013000000}" name="GA Best Zt3"/>
    <tableColumn id="20" xr3:uid="{00000000-0010-0000-0000-000014000000}" name="GA Best Zu"/>
    <tableColumn id="21" xr3:uid="{00000000-0010-0000-0000-000015000000}" name="GA Best Uncovered"/>
    <tableColumn id="22" xr3:uid="{00000000-0010-0000-0000-000016000000}" name="GA Best Runtime (s)"/>
    <tableColumn id="23" xr3:uid="{00000000-0010-0000-0000-000017000000}" name="GA Gap (%)"/>
    <tableColumn id="24" xr3:uid="{00000000-0010-0000-0000-000018000000}" name="GA Mean ZT" totalsRowDxfId="0"/>
    <tableColumn id="25" xr3:uid="{00000000-0010-0000-0000-000019000000}" name="GA SD ZT"/>
    <tableColumn id="26" xr3:uid="{00000000-0010-0000-0000-00001A000000}" name="Valid GA Runs"/>
    <tableColumn id="27" xr3:uid="{00000000-0010-0000-0000-00001B000000}" name="GA Mean Runtime (s)"/>
    <tableColumn id="28" xr3:uid="{00000000-0010-0000-0000-00001C000000}" name="RH ZT"/>
    <tableColumn id="29" xr3:uid="{00000000-0010-0000-0000-00001D000000}" name="RH Zd"/>
    <tableColumn id="30" xr3:uid="{00000000-0010-0000-0000-00001E000000}" name="RH Zt4"/>
    <tableColumn id="31" xr3:uid="{00000000-0010-0000-0000-00001F000000}" name="RH Zu"/>
    <tableColumn id="32" xr3:uid="{00000000-0010-0000-0000-000020000000}" name="RH Uncovered"/>
    <tableColumn id="33" xr3:uid="{00000000-0010-0000-0000-000021000000}" name="RH Runtime (s)"/>
    <tableColumn id="34" xr3:uid="{00000000-0010-0000-0000-000022000000}" name="Delay Reduction (%)"/>
    <tableColumn id="35" xr3:uid="{00000000-0010-0000-0000-000023000000}" name="GA Coverage (%)"/>
    <tableColumn id="36" xr3:uid="{00000000-0010-0000-0000-000024000000}" name="RH Coverage (%)"/>
    <tableColumn id="37" xr3:uid="{00000000-0010-0000-0000-000025000000}" name="Coverage Gain (pp)"/>
    <tableColumn id="38" xr3:uid="{00000000-0010-0000-0000-000026000000}" name="GA Objective Check"/>
    <tableColumn id="39" xr3:uid="{00000000-0010-0000-0000-00002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RunsTable" displayName="GARunsTable" ref="A5:M505" totalsRowShown="0">
  <tableColumns count="13">
    <tableColumn id="1" xr3:uid="{00000000-0010-0000-0100-000001000000}" name="Instance"/>
    <tableColumn id="2" xr3:uid="{00000000-0010-0000-0100-000002000000}" name="Run"/>
    <tableColumn id="3" xr3:uid="{00000000-0010-0000-0100-000003000000}" name="GA Seed"/>
    <tableColumn id="4" xr3:uid="{00000000-0010-0000-0100-000004000000}" name="ZT"/>
    <tableColumn id="5" xr3:uid="{00000000-0010-0000-0100-000005000000}" name="Zd"/>
    <tableColumn id="6" xr3:uid="{00000000-0010-0000-0100-000006000000}" name="Zt2"/>
    <tableColumn id="7" xr3:uid="{00000000-0010-0000-0100-000007000000}" name="Zu"/>
    <tableColumn id="8" xr3:uid="{00000000-0010-0000-0100-000008000000}" name="Uncovered"/>
    <tableColumn id="9" xr3:uid="{00000000-0010-0000-0100-000009000000}" name="Runtime (s)"/>
    <tableColumn id="10" xr3:uid="{00000000-0010-0000-0100-00000A000000}" name="Feasible"/>
    <tableColumn id="11" xr3:uid="{00000000-0010-0000-0100-00000B000000}" name="Validator Passed"/>
    <tableColumn id="12" xr3:uid="{00000000-0010-0000-0100-00000C000000}" name="Notes"/>
    <tableColumn id="13" xr3:uid="{00000000-0010-0000-0100-00000D000000}" name="Eligible Z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M106"/>
  <sheetViews>
    <sheetView showGridLines="0" tabSelected="1" zoomScale="80" zoomScaleNormal="80" workbookViewId="0">
      <pane xSplit="1" ySplit="5" topLeftCell="B6" activePane="bottomRight" state="frozen"/>
      <selection pane="topRight"/>
      <selection pane="bottomLeft"/>
      <selection pane="bottomRight" activeCell="F3" sqref="F3"/>
    </sheetView>
  </sheetViews>
  <sheetFormatPr defaultRowHeight="13.8"/>
  <cols>
    <col min="1" max="1" width="13" customWidth="1"/>
    <col min="2" max="2" width="11" customWidth="1"/>
    <col min="3" max="3" width="9" customWidth="1"/>
    <col min="4" max="4" width="10" customWidth="1"/>
    <col min="5" max="5" width="8" customWidth="1"/>
    <col min="6" max="6" width="10" customWidth="1"/>
    <col min="7" max="8" width="12" customWidth="1"/>
    <col min="9" max="9" width="9" customWidth="1"/>
    <col min="10" max="10" width="11" customWidth="1"/>
    <col min="11" max="11" width="12" customWidth="1"/>
    <col min="12" max="14" width="11" customWidth="1"/>
    <col min="15" max="16" width="15" customWidth="1"/>
    <col min="17" max="17" width="12" customWidth="1"/>
    <col min="18" max="20" width="11" customWidth="1"/>
    <col min="21" max="21" width="15" customWidth="1"/>
    <col min="22" max="22" width="16" customWidth="1"/>
    <col min="23" max="23" width="11" customWidth="1"/>
    <col min="24" max="24" width="12" customWidth="1"/>
    <col min="25" max="26" width="11" customWidth="1"/>
    <col min="27" max="27" width="16" customWidth="1"/>
    <col min="28" max="28" width="11" customWidth="1"/>
    <col min="29" max="31" width="10" customWidth="1"/>
    <col min="32" max="33" width="14" customWidth="1"/>
    <col min="34" max="34" width="16" customWidth="1"/>
    <col min="35" max="36" width="14" customWidth="1"/>
    <col min="37" max="37" width="16" customWidth="1"/>
    <col min="38" max="38" width="15" customWidth="1"/>
    <col min="39" max="39" width="28" customWidth="1"/>
  </cols>
  <sheetData>
    <row r="1" spans="1:3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42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5" t="s">
        <v>12</v>
      </c>
      <c r="M5" s="5" t="s">
        <v>166</v>
      </c>
      <c r="N5" s="5" t="s">
        <v>13</v>
      </c>
      <c r="O5" s="5" t="s">
        <v>14</v>
      </c>
      <c r="P5" s="5" t="s">
        <v>15</v>
      </c>
      <c r="Q5" s="6" t="s">
        <v>16</v>
      </c>
      <c r="R5" s="6" t="s">
        <v>17</v>
      </c>
      <c r="S5" s="6" t="s">
        <v>167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7" t="s">
        <v>26</v>
      </c>
      <c r="AC5" s="7" t="s">
        <v>27</v>
      </c>
      <c r="AD5" s="7" t="s">
        <v>168</v>
      </c>
      <c r="AE5" s="7" t="s">
        <v>28</v>
      </c>
      <c r="AF5" s="7" t="s">
        <v>29</v>
      </c>
      <c r="AG5" s="7" t="s">
        <v>30</v>
      </c>
      <c r="AH5" s="8" t="s">
        <v>31</v>
      </c>
      <c r="AI5" s="8" t="s">
        <v>32</v>
      </c>
      <c r="AJ5" s="8" t="s">
        <v>33</v>
      </c>
      <c r="AK5" s="8" t="s">
        <v>34</v>
      </c>
      <c r="AL5" s="8" t="s">
        <v>35</v>
      </c>
      <c r="AM5" s="8" t="s">
        <v>36</v>
      </c>
    </row>
    <row r="6" spans="1:39">
      <c r="A6" s="9" t="s">
        <v>37</v>
      </c>
      <c r="B6" s="9">
        <v>27</v>
      </c>
      <c r="C6" s="9">
        <v>20</v>
      </c>
      <c r="D6" s="9">
        <v>4</v>
      </c>
      <c r="E6" s="9">
        <v>2</v>
      </c>
      <c r="F6" s="15">
        <v>0.1</v>
      </c>
      <c r="G6" s="9">
        <v>2</v>
      </c>
      <c r="H6" s="9">
        <v>18</v>
      </c>
      <c r="I6" s="15">
        <v>0.1</v>
      </c>
      <c r="J6" s="9">
        <v>2</v>
      </c>
      <c r="K6" s="17">
        <v>448.8</v>
      </c>
      <c r="L6" s="17">
        <v>0</v>
      </c>
      <c r="M6" s="17">
        <v>448.8</v>
      </c>
      <c r="N6" s="17">
        <v>0</v>
      </c>
      <c r="O6" s="9">
        <v>0</v>
      </c>
      <c r="P6" s="17">
        <v>1</v>
      </c>
      <c r="Q6" s="18">
        <f>IF(COUNT('GA Runs'!M6:M10)=0,"",MIN('GA Runs'!M6:M10))</f>
        <v>448.81</v>
      </c>
      <c r="R6" s="18">
        <f>IF($Q6="","",INDEX('GA Runs'!E6:E10,MATCH($Q6,'GA Runs'!M6:M10,0)))</f>
        <v>0</v>
      </c>
      <c r="S6" s="18">
        <f>IF($Q6="","",INDEX('GA Runs'!F6:F10,MATCH($Q6,'GA Runs'!M6:M10,0)))</f>
        <v>448.81</v>
      </c>
      <c r="T6" s="18">
        <f>IF($Q6="","",INDEX('GA Runs'!G6:G10,MATCH($Q6,'GA Runs'!M6:M10,0)))</f>
        <v>0</v>
      </c>
      <c r="U6" s="18">
        <f>IF($Q6="","",INDEX('GA Runs'!H6:H10,MATCH($Q6,'GA Runs'!M6:M10,0)))</f>
        <v>0</v>
      </c>
      <c r="V6" s="18">
        <f>IF($Q6="","",INDEX('GA Runs'!I6:I10,MATCH($Q6,'GA Runs'!M6:M10,0)))</f>
        <v>20.5</v>
      </c>
      <c r="W6" s="18">
        <f t="shared" ref="W6:W37" si="0">IF(OR($K6="",$Q6="",NOT(ISNUMBER($K6))),"",100*($Q6-$K6)/$K6)</f>
        <v>2.2281639928678487E-3</v>
      </c>
      <c r="X6" s="18">
        <f>IF(COUNT('GA Runs'!M6:M10)=0,"",AVERAGE('GA Runs'!M6:M10))</f>
        <v>448.81000000000006</v>
      </c>
      <c r="Y6" s="18">
        <f>IF(COUNT('GA Runs'!M6:M10)&lt;2,"",_xlfn.STDEV.S('GA Runs'!M6:M10))</f>
        <v>6.3552874323130192E-14</v>
      </c>
      <c r="Z6" s="22">
        <f>COUNT('GA Runs'!M6:M10)</f>
        <v>5</v>
      </c>
      <c r="AA6" s="18">
        <f>IF($Z6=0,"",AVERAGEIF('GA Runs'!M6:M10,"&gt;=0",'GA Runs'!I6:I10))</f>
        <v>21.786000000000001</v>
      </c>
      <c r="AB6" s="20">
        <v>532.29999999999995</v>
      </c>
      <c r="AC6" s="20">
        <v>95.15</v>
      </c>
      <c r="AD6" s="20">
        <v>437.14</v>
      </c>
      <c r="AE6" s="20">
        <v>0</v>
      </c>
      <c r="AF6" s="20">
        <v>0</v>
      </c>
      <c r="AG6" s="20">
        <v>2.38</v>
      </c>
      <c r="AH6" s="18">
        <f t="shared" ref="AH6:AH37" si="1">IF(OR($AC6="",$R6="",$AC6=0),"",100*($AC6-$R6)/$AC6)</f>
        <v>100</v>
      </c>
      <c r="AI6" s="18">
        <f t="shared" ref="AI6:AI37" si="2">IF($U6="","",100*($C6-$U6)/$C6)</f>
        <v>100</v>
      </c>
      <c r="AJ6" s="18">
        <f t="shared" ref="AJ6:AJ37" si="3">IF($AF6="","",100*($C6-$AF6)/$C6)</f>
        <v>100</v>
      </c>
      <c r="AK6" s="18">
        <f t="shared" ref="AK6:AK37" si="4">IF(OR($AI6="",$AJ6=""),"",$AI6-$AJ6)</f>
        <v>0</v>
      </c>
      <c r="AL6" s="10" t="str">
        <f t="shared" ref="AL6:AL37" si="5">IF($Q6="","",IF(ABS($Q6-SUM($R6:$T6))&lt;0.05,"OK","CHECK"))</f>
        <v>OK</v>
      </c>
      <c r="AM6" s="11"/>
    </row>
    <row r="7" spans="1:39">
      <c r="A7" s="9" t="s">
        <v>38</v>
      </c>
      <c r="B7" s="9">
        <v>27</v>
      </c>
      <c r="C7" s="9">
        <v>20</v>
      </c>
      <c r="D7" s="9">
        <v>4</v>
      </c>
      <c r="E7" s="9">
        <v>2</v>
      </c>
      <c r="F7" s="15">
        <v>0.25</v>
      </c>
      <c r="G7" s="9">
        <v>5</v>
      </c>
      <c r="H7" s="9">
        <v>15</v>
      </c>
      <c r="I7" s="15">
        <v>0.1</v>
      </c>
      <c r="J7" s="9">
        <v>2</v>
      </c>
      <c r="K7" s="17">
        <v>549.79999999999995</v>
      </c>
      <c r="L7" s="17">
        <v>38.200000000000003</v>
      </c>
      <c r="M7" s="17">
        <v>511.6</v>
      </c>
      <c r="N7" s="17">
        <v>0</v>
      </c>
      <c r="O7" s="9">
        <v>0</v>
      </c>
      <c r="P7" s="17">
        <v>2</v>
      </c>
      <c r="Q7" s="18">
        <f>IF(COUNT('GA Runs'!M11:M15)=0,"",MIN('GA Runs'!M11:M15))</f>
        <v>549.85</v>
      </c>
      <c r="R7" s="18">
        <f>IF($Q7="","",INDEX('GA Runs'!E11:E15,MATCH($Q7,'GA Runs'!M11:M15,0)))</f>
        <v>38.200000000000003</v>
      </c>
      <c r="S7" s="18">
        <f>IF($Q7="","",INDEX('GA Runs'!F11:F15,MATCH($Q7,'GA Runs'!M11:M15,0)))</f>
        <v>511.65</v>
      </c>
      <c r="T7" s="18">
        <f>IF($Q7="","",INDEX('GA Runs'!G11:G15,MATCH($Q7,'GA Runs'!M11:M15,0)))</f>
        <v>0</v>
      </c>
      <c r="U7" s="18">
        <f>IF($Q7="","",INDEX('GA Runs'!H11:H15,MATCH($Q7,'GA Runs'!M11:M15,0)))</f>
        <v>0</v>
      </c>
      <c r="V7" s="18">
        <f>IF($Q7="","",INDEX('GA Runs'!I11:I15,MATCH($Q7,'GA Runs'!M11:M15,0)))</f>
        <v>23.24</v>
      </c>
      <c r="W7" s="18">
        <f t="shared" si="0"/>
        <v>9.0942160785864347E-3</v>
      </c>
      <c r="X7" s="18">
        <f>IF(COUNT('GA Runs'!M11:M15)=0,"",AVERAGE('GA Runs'!M11:M15))</f>
        <v>553.8900000000001</v>
      </c>
      <c r="Y7" s="18">
        <f>IF(COUNT('GA Runs'!M11:M15)&lt;2,"",_xlfn.STDEV.S('GA Runs'!M11:M15))</f>
        <v>8.9334315914994242</v>
      </c>
      <c r="Z7" s="22">
        <f>COUNT('GA Runs'!M11:M15)</f>
        <v>5</v>
      </c>
      <c r="AA7" s="18">
        <f>IF($Z7=0,"",AVERAGEIF('GA Runs'!M11:M15,"&gt;=0",'GA Runs'!I11:I15))</f>
        <v>23.271999999999998</v>
      </c>
      <c r="AB7" s="20">
        <v>843.98</v>
      </c>
      <c r="AC7" s="20">
        <v>338.13</v>
      </c>
      <c r="AD7" s="20">
        <v>505.85</v>
      </c>
      <c r="AE7" s="20">
        <v>0</v>
      </c>
      <c r="AF7" s="20">
        <v>0</v>
      </c>
      <c r="AG7" s="20">
        <v>3.26</v>
      </c>
      <c r="AH7" s="18">
        <f t="shared" si="1"/>
        <v>88.702570017448906</v>
      </c>
      <c r="AI7" s="18">
        <f t="shared" si="2"/>
        <v>100</v>
      </c>
      <c r="AJ7" s="18">
        <f t="shared" si="3"/>
        <v>100</v>
      </c>
      <c r="AK7" s="18">
        <f t="shared" si="4"/>
        <v>0</v>
      </c>
      <c r="AL7" s="10" t="str">
        <f t="shared" si="5"/>
        <v>OK</v>
      </c>
      <c r="AM7" s="11"/>
    </row>
    <row r="8" spans="1:39">
      <c r="A8" s="9" t="s">
        <v>39</v>
      </c>
      <c r="B8" s="9">
        <v>27</v>
      </c>
      <c r="C8" s="9">
        <v>20</v>
      </c>
      <c r="D8" s="9">
        <v>4</v>
      </c>
      <c r="E8" s="9">
        <v>2</v>
      </c>
      <c r="F8" s="15">
        <v>0.5</v>
      </c>
      <c r="G8" s="9">
        <v>10</v>
      </c>
      <c r="H8" s="9">
        <v>10</v>
      </c>
      <c r="I8" s="15">
        <v>0.1</v>
      </c>
      <c r="J8" s="9">
        <v>2</v>
      </c>
      <c r="K8" s="17">
        <v>560.1</v>
      </c>
      <c r="L8" s="17">
        <v>39.1</v>
      </c>
      <c r="M8" s="17">
        <v>521</v>
      </c>
      <c r="N8" s="17">
        <v>0</v>
      </c>
      <c r="O8" s="9">
        <v>0</v>
      </c>
      <c r="P8" s="17">
        <v>1</v>
      </c>
      <c r="Q8" s="18">
        <f>IF(COUNT('GA Runs'!M16:M20)=0,"",MIN('GA Runs'!M16:M20))</f>
        <v>584.26</v>
      </c>
      <c r="R8" s="18">
        <f>IF($Q8="","",INDEX('GA Runs'!E16:E20,MATCH($Q8,'GA Runs'!M16:M20,0)))</f>
        <v>51.62</v>
      </c>
      <c r="S8" s="18">
        <f>IF($Q8="","",INDEX('GA Runs'!F16:F20,MATCH($Q8,'GA Runs'!M16:M20,0)))</f>
        <v>532.64</v>
      </c>
      <c r="T8" s="18">
        <f>IF($Q8="","",INDEX('GA Runs'!G16:G20,MATCH($Q8,'GA Runs'!M16:M20,0)))</f>
        <v>0</v>
      </c>
      <c r="U8" s="18">
        <f>IF($Q8="","",INDEX('GA Runs'!H16:H20,MATCH($Q8,'GA Runs'!M16:M20,0)))</f>
        <v>0</v>
      </c>
      <c r="V8" s="18">
        <f>IF($Q8="","",INDEX('GA Runs'!I16:I20,MATCH($Q8,'GA Runs'!M16:M20,0)))</f>
        <v>22.91</v>
      </c>
      <c r="W8" s="18">
        <f t="shared" si="0"/>
        <v>4.3135154436707674</v>
      </c>
      <c r="X8" s="18">
        <f>IF(COUNT('GA Runs'!M16:M20)=0,"",AVERAGE('GA Runs'!M16:M20))</f>
        <v>601.20000000000005</v>
      </c>
      <c r="Y8" s="18">
        <f>IF(COUNT('GA Runs'!M16:M20)&lt;2,"",_xlfn.STDEV.S('GA Runs'!M16:M20))</f>
        <v>21.935732264959842</v>
      </c>
      <c r="Z8" s="22">
        <f>COUNT('GA Runs'!M16:M20)</f>
        <v>5</v>
      </c>
      <c r="AA8" s="18">
        <f>IF($Z8=0,"",AVERAGEIF('GA Runs'!M16:M20,"&gt;=0",'GA Runs'!I16:I20))</f>
        <v>22.845999999999997</v>
      </c>
      <c r="AB8" s="20">
        <v>5148.47</v>
      </c>
      <c r="AC8" s="20">
        <v>693.07</v>
      </c>
      <c r="AD8" s="20">
        <v>455.4</v>
      </c>
      <c r="AE8" s="20">
        <v>4000</v>
      </c>
      <c r="AF8" s="20">
        <v>1</v>
      </c>
      <c r="AG8" s="20">
        <v>1</v>
      </c>
      <c r="AH8" s="18">
        <f t="shared" si="1"/>
        <v>92.551978876592557</v>
      </c>
      <c r="AI8" s="18">
        <f t="shared" si="2"/>
        <v>100</v>
      </c>
      <c r="AJ8" s="18">
        <f t="shared" si="3"/>
        <v>95</v>
      </c>
      <c r="AK8" s="18">
        <f t="shared" si="4"/>
        <v>5</v>
      </c>
      <c r="AL8" s="10" t="str">
        <f t="shared" si="5"/>
        <v>OK</v>
      </c>
      <c r="AM8" s="11"/>
    </row>
    <row r="9" spans="1:39">
      <c r="A9" s="9" t="s">
        <v>40</v>
      </c>
      <c r="B9" s="9">
        <v>27</v>
      </c>
      <c r="C9" s="9">
        <v>20</v>
      </c>
      <c r="D9" s="9">
        <v>4</v>
      </c>
      <c r="E9" s="9">
        <v>2</v>
      </c>
      <c r="F9" s="15">
        <v>0.75</v>
      </c>
      <c r="G9" s="9">
        <v>15</v>
      </c>
      <c r="H9" s="9">
        <v>5</v>
      </c>
      <c r="I9" s="15">
        <v>0.1</v>
      </c>
      <c r="J9" s="9">
        <v>2</v>
      </c>
      <c r="K9" s="17">
        <v>794.3</v>
      </c>
      <c r="L9" s="17">
        <v>219.3</v>
      </c>
      <c r="M9" s="17">
        <v>575</v>
      </c>
      <c r="N9" s="17">
        <v>0</v>
      </c>
      <c r="O9" s="9">
        <v>0</v>
      </c>
      <c r="P9" s="17">
        <v>1</v>
      </c>
      <c r="Q9" s="18">
        <f>IF(COUNT('GA Runs'!M21:M25)=0,"",MIN('GA Runs'!M21:M25))</f>
        <v>794.24</v>
      </c>
      <c r="R9" s="18">
        <f>IF($Q9="","",INDEX('GA Runs'!E21:E25,MATCH($Q9,'GA Runs'!M21:M25,0)))</f>
        <v>219.26</v>
      </c>
      <c r="S9" s="18">
        <f>IF($Q9="","",INDEX('GA Runs'!F21:F25,MATCH($Q9,'GA Runs'!M21:M25,0)))</f>
        <v>574.97</v>
      </c>
      <c r="T9" s="18">
        <f>IF($Q9="","",INDEX('GA Runs'!G21:G25,MATCH($Q9,'GA Runs'!M21:M25,0)))</f>
        <v>0</v>
      </c>
      <c r="U9" s="18">
        <f>IF($Q9="","",INDEX('GA Runs'!H21:H25,MATCH($Q9,'GA Runs'!M21:M25,0)))</f>
        <v>0</v>
      </c>
      <c r="V9" s="18">
        <f>IF($Q9="","",INDEX('GA Runs'!I21:I25,MATCH($Q9,'GA Runs'!M21:M25,0)))</f>
        <v>14.67</v>
      </c>
      <c r="W9" s="18">
        <f t="shared" si="0"/>
        <v>-7.5538209744360364E-3</v>
      </c>
      <c r="X9" s="18">
        <f>IF(COUNT('GA Runs'!M21:M25)=0,"",AVERAGE('GA Runs'!M21:M25))</f>
        <v>799.00800000000004</v>
      </c>
      <c r="Y9" s="18">
        <f>IF(COUNT('GA Runs'!M21:M25)&lt;2,"",_xlfn.STDEV.S('GA Runs'!M21:M25))</f>
        <v>8.4921799321493516</v>
      </c>
      <c r="Z9" s="22">
        <f>COUNT('GA Runs'!M21:M25)</f>
        <v>5</v>
      </c>
      <c r="AA9" s="18">
        <f>IF($Z9=0,"",AVERAGEIF('GA Runs'!M21:M25,"&gt;=0",'GA Runs'!I21:I25))</f>
        <v>14.808000000000002</v>
      </c>
      <c r="AB9" s="20">
        <v>4609.47</v>
      </c>
      <c r="AC9" s="20">
        <v>1078.3900000000001</v>
      </c>
      <c r="AD9" s="20">
        <v>531.08000000000004</v>
      </c>
      <c r="AE9" s="20">
        <v>3000</v>
      </c>
      <c r="AF9" s="20">
        <v>1</v>
      </c>
      <c r="AG9" s="20">
        <v>0.95</v>
      </c>
      <c r="AH9" s="18">
        <f t="shared" si="1"/>
        <v>79.667838166155107</v>
      </c>
      <c r="AI9" s="18">
        <f t="shared" si="2"/>
        <v>100</v>
      </c>
      <c r="AJ9" s="18">
        <f t="shared" si="3"/>
        <v>95</v>
      </c>
      <c r="AK9" s="18">
        <f t="shared" si="4"/>
        <v>5</v>
      </c>
      <c r="AL9" s="10" t="str">
        <f t="shared" si="5"/>
        <v>OK</v>
      </c>
      <c r="AM9" s="11"/>
    </row>
    <row r="10" spans="1:39">
      <c r="A10" s="9" t="s">
        <v>41</v>
      </c>
      <c r="B10" s="9">
        <v>27</v>
      </c>
      <c r="C10" s="9">
        <v>20</v>
      </c>
      <c r="D10" s="9">
        <v>4</v>
      </c>
      <c r="E10" s="9">
        <v>2</v>
      </c>
      <c r="F10" s="15">
        <v>0.9</v>
      </c>
      <c r="G10" s="9">
        <v>18</v>
      </c>
      <c r="H10" s="9">
        <v>2</v>
      </c>
      <c r="I10" s="15">
        <v>0.1</v>
      </c>
      <c r="J10" s="9">
        <v>2</v>
      </c>
      <c r="K10" s="17">
        <v>946.1</v>
      </c>
      <c r="L10" s="17">
        <v>397.2</v>
      </c>
      <c r="M10" s="17">
        <v>548.9</v>
      </c>
      <c r="N10" s="17">
        <v>0</v>
      </c>
      <c r="O10" s="9">
        <v>0</v>
      </c>
      <c r="P10" s="17">
        <v>1</v>
      </c>
      <c r="Q10" s="18">
        <f>IF(COUNT('GA Runs'!M26:M30)=0,"",MIN('GA Runs'!M26:M30))</f>
        <v>946.11</v>
      </c>
      <c r="R10" s="18">
        <f>IF($Q10="","",INDEX('GA Runs'!E26:E30,MATCH($Q10,'GA Runs'!M26:M30,0)))</f>
        <v>397.23</v>
      </c>
      <c r="S10" s="18">
        <f>IF($Q10="","",INDEX('GA Runs'!F26:F30,MATCH($Q10,'GA Runs'!M26:M30,0)))</f>
        <v>548.88</v>
      </c>
      <c r="T10" s="18">
        <f>IF($Q10="","",INDEX('GA Runs'!G26:G30,MATCH($Q10,'GA Runs'!M26:M30,0)))</f>
        <v>0</v>
      </c>
      <c r="U10" s="18">
        <f>IF($Q10="","",INDEX('GA Runs'!H26:H30,MATCH($Q10,'GA Runs'!M26:M30,0)))</f>
        <v>0</v>
      </c>
      <c r="V10" s="18">
        <f>IF($Q10="","",INDEX('GA Runs'!I26:I30,MATCH($Q10,'GA Runs'!M26:M30,0)))</f>
        <v>15.91</v>
      </c>
      <c r="W10" s="18">
        <f t="shared" si="0"/>
        <v>1.0569707219100417E-3</v>
      </c>
      <c r="X10" s="18">
        <f>IF(COUNT('GA Runs'!M26:M30)=0,"",AVERAGE('GA Runs'!M26:M30))</f>
        <v>971.18200000000002</v>
      </c>
      <c r="Y10" s="18">
        <f>IF(COUNT('GA Runs'!M26:M30)&lt;2,"",_xlfn.STDEV.S('GA Runs'!M26:M30))</f>
        <v>34.331249904423785</v>
      </c>
      <c r="Z10" s="22">
        <f>COUNT('GA Runs'!M26:M30)</f>
        <v>5</v>
      </c>
      <c r="AA10" s="18">
        <f>IF($Z10=0,"",AVERAGEIF('GA Runs'!M26:M30,"&gt;=0",'GA Runs'!I26:I30))</f>
        <v>15.709999999999999</v>
      </c>
      <c r="AB10" s="20">
        <v>4800.1400000000003</v>
      </c>
      <c r="AC10" s="20">
        <v>1288.1600000000001</v>
      </c>
      <c r="AD10" s="20">
        <v>511.98</v>
      </c>
      <c r="AE10" s="20">
        <v>3000</v>
      </c>
      <c r="AF10" s="20">
        <v>1</v>
      </c>
      <c r="AG10" s="20">
        <v>0.64</v>
      </c>
      <c r="AH10" s="18">
        <f t="shared" si="1"/>
        <v>69.162992174885105</v>
      </c>
      <c r="AI10" s="18">
        <f t="shared" si="2"/>
        <v>100</v>
      </c>
      <c r="AJ10" s="18">
        <f t="shared" si="3"/>
        <v>95</v>
      </c>
      <c r="AK10" s="18">
        <f t="shared" si="4"/>
        <v>5</v>
      </c>
      <c r="AL10" s="10" t="str">
        <f t="shared" si="5"/>
        <v>OK</v>
      </c>
      <c r="AM10" s="11"/>
    </row>
    <row r="11" spans="1:39">
      <c r="A11" s="9" t="s">
        <v>42</v>
      </c>
      <c r="B11" s="9">
        <v>10</v>
      </c>
      <c r="C11" s="9">
        <v>20</v>
      </c>
      <c r="D11" s="9">
        <v>4</v>
      </c>
      <c r="E11" s="9">
        <v>2</v>
      </c>
      <c r="F11" s="15">
        <v>0.1</v>
      </c>
      <c r="G11" s="9">
        <v>2</v>
      </c>
      <c r="H11" s="9">
        <v>18</v>
      </c>
      <c r="I11" s="15">
        <v>0.1</v>
      </c>
      <c r="J11" s="9">
        <v>2</v>
      </c>
      <c r="K11" s="17">
        <v>480.2</v>
      </c>
      <c r="L11" s="17">
        <v>2.7</v>
      </c>
      <c r="M11" s="17">
        <v>477.5</v>
      </c>
      <c r="N11" s="17">
        <v>0</v>
      </c>
      <c r="O11" s="9">
        <v>0</v>
      </c>
      <c r="P11" s="17">
        <v>4</v>
      </c>
      <c r="Q11" s="18">
        <f>IF(COUNT('GA Runs'!M31:M35)=0,"",MIN('GA Runs'!M31:M35))</f>
        <v>480.2</v>
      </c>
      <c r="R11" s="18">
        <f>IF($Q11="","",INDEX('GA Runs'!E31:E35,MATCH($Q11,'GA Runs'!M31:M35,0)))</f>
        <v>2.72</v>
      </c>
      <c r="S11" s="18">
        <f>IF($Q11="","",INDEX('GA Runs'!F31:F35,MATCH($Q11,'GA Runs'!M31:M35,0)))</f>
        <v>477.48</v>
      </c>
      <c r="T11" s="18">
        <f>IF($Q11="","",INDEX('GA Runs'!G31:G35,MATCH($Q11,'GA Runs'!M31:M35,0)))</f>
        <v>0</v>
      </c>
      <c r="U11" s="18">
        <f>IF($Q11="","",INDEX('GA Runs'!H31:H35,MATCH($Q11,'GA Runs'!M31:M35,0)))</f>
        <v>0</v>
      </c>
      <c r="V11" s="18">
        <f>IF($Q11="","",INDEX('GA Runs'!I31:I35,MATCH($Q11,'GA Runs'!M31:M35,0)))</f>
        <v>22.66</v>
      </c>
      <c r="W11" s="18">
        <f t="shared" si="0"/>
        <v>0</v>
      </c>
      <c r="X11" s="18">
        <f>IF(COUNT('GA Runs'!M31:M35)=0,"",AVERAGE('GA Runs'!M31:M35))</f>
        <v>487.09399999999994</v>
      </c>
      <c r="Y11" s="18">
        <f>IF(COUNT('GA Runs'!M31:M35)&lt;2,"",_xlfn.STDEV.S('GA Runs'!M31:M35))</f>
        <v>10.883463603099891</v>
      </c>
      <c r="Z11" s="22">
        <f>COUNT('GA Runs'!M31:M35)</f>
        <v>5</v>
      </c>
      <c r="AA11" s="18">
        <f>IF($Z11=0,"",AVERAGEIF('GA Runs'!M31:M35,"&gt;=0",'GA Runs'!I31:I35))</f>
        <v>21.386000000000003</v>
      </c>
      <c r="AB11" s="20">
        <v>699.67</v>
      </c>
      <c r="AC11" s="20">
        <v>189.72</v>
      </c>
      <c r="AD11" s="20">
        <v>509.95</v>
      </c>
      <c r="AE11" s="20">
        <v>0</v>
      </c>
      <c r="AF11" s="20">
        <v>0</v>
      </c>
      <c r="AG11" s="20">
        <v>6.41</v>
      </c>
      <c r="AH11" s="18">
        <f t="shared" si="1"/>
        <v>98.566308243727605</v>
      </c>
      <c r="AI11" s="18">
        <f t="shared" si="2"/>
        <v>100</v>
      </c>
      <c r="AJ11" s="18">
        <f t="shared" si="3"/>
        <v>100</v>
      </c>
      <c r="AK11" s="18">
        <f t="shared" si="4"/>
        <v>0</v>
      </c>
      <c r="AL11" s="10" t="str">
        <f t="shared" si="5"/>
        <v>OK</v>
      </c>
      <c r="AM11" s="11"/>
    </row>
    <row r="12" spans="1:39">
      <c r="A12" s="9" t="s">
        <v>43</v>
      </c>
      <c r="B12" s="9">
        <v>10</v>
      </c>
      <c r="C12" s="9">
        <v>20</v>
      </c>
      <c r="D12" s="9">
        <v>4</v>
      </c>
      <c r="E12" s="9">
        <v>2</v>
      </c>
      <c r="F12" s="15">
        <v>0.25</v>
      </c>
      <c r="G12" s="9">
        <v>5</v>
      </c>
      <c r="H12" s="9">
        <v>15</v>
      </c>
      <c r="I12" s="15">
        <v>0.1</v>
      </c>
      <c r="J12" s="9">
        <v>2</v>
      </c>
      <c r="K12" s="17">
        <v>480.2</v>
      </c>
      <c r="L12" s="17">
        <v>2.7</v>
      </c>
      <c r="M12" s="17">
        <v>477.5</v>
      </c>
      <c r="N12" s="17">
        <v>0</v>
      </c>
      <c r="O12" s="9">
        <v>0</v>
      </c>
      <c r="P12" s="17">
        <v>2</v>
      </c>
      <c r="Q12" s="18">
        <f>IF(COUNT('GA Runs'!M36:M40)=0,"",MIN('GA Runs'!M36:M40))</f>
        <v>480.2</v>
      </c>
      <c r="R12" s="18">
        <f>IF($Q12="","",INDEX('GA Runs'!E36:E40,MATCH($Q12,'GA Runs'!M36:M40,0)))</f>
        <v>2.72</v>
      </c>
      <c r="S12" s="18">
        <f>IF($Q12="","",INDEX('GA Runs'!F36:F40,MATCH($Q12,'GA Runs'!M36:M40,0)))</f>
        <v>477.48</v>
      </c>
      <c r="T12" s="18">
        <f>IF($Q12="","",INDEX('GA Runs'!G36:G40,MATCH($Q12,'GA Runs'!M36:M40,0)))</f>
        <v>0</v>
      </c>
      <c r="U12" s="18">
        <f>IF($Q12="","",INDEX('GA Runs'!H36:H40,MATCH($Q12,'GA Runs'!M36:M40,0)))</f>
        <v>0</v>
      </c>
      <c r="V12" s="18">
        <f>IF($Q12="","",INDEX('GA Runs'!I36:I40,MATCH($Q12,'GA Runs'!M36:M40,0)))</f>
        <v>21.29</v>
      </c>
      <c r="W12" s="18">
        <f t="shared" si="0"/>
        <v>0</v>
      </c>
      <c r="X12" s="18">
        <f>IF(COUNT('GA Runs'!M36:M40)=0,"",AVERAGE('GA Runs'!M36:M40))</f>
        <v>490.55999999999995</v>
      </c>
      <c r="Y12" s="18">
        <f>IF(COUNT('GA Runs'!M36:M40)&lt;2,"",_xlfn.STDEV.S('GA Runs'!M36:M40))</f>
        <v>16.86941166727518</v>
      </c>
      <c r="Z12" s="22">
        <f>COUNT('GA Runs'!M36:M40)</f>
        <v>5</v>
      </c>
      <c r="AA12" s="18">
        <f>IF($Z12=0,"",AVERAGEIF('GA Runs'!M36:M40,"&gt;=0",'GA Runs'!I36:I40))</f>
        <v>20.630000000000003</v>
      </c>
      <c r="AB12" s="20">
        <v>1164.68</v>
      </c>
      <c r="AC12" s="20">
        <v>666.66</v>
      </c>
      <c r="AD12" s="20">
        <v>498.02</v>
      </c>
      <c r="AE12" s="20">
        <v>0</v>
      </c>
      <c r="AF12" s="20">
        <v>0</v>
      </c>
      <c r="AG12" s="20">
        <v>1.44</v>
      </c>
      <c r="AH12" s="18">
        <f t="shared" si="1"/>
        <v>99.591995919959203</v>
      </c>
      <c r="AI12" s="18">
        <f t="shared" si="2"/>
        <v>100</v>
      </c>
      <c r="AJ12" s="18">
        <f t="shared" si="3"/>
        <v>100</v>
      </c>
      <c r="AK12" s="18">
        <f t="shared" si="4"/>
        <v>0</v>
      </c>
      <c r="AL12" s="10" t="str">
        <f t="shared" si="5"/>
        <v>OK</v>
      </c>
      <c r="AM12" s="11"/>
    </row>
    <row r="13" spans="1:39">
      <c r="A13" s="9" t="s">
        <v>44</v>
      </c>
      <c r="B13" s="9">
        <v>10</v>
      </c>
      <c r="C13" s="9">
        <v>20</v>
      </c>
      <c r="D13" s="9">
        <v>4</v>
      </c>
      <c r="E13" s="9">
        <v>2</v>
      </c>
      <c r="F13" s="15">
        <v>0.5</v>
      </c>
      <c r="G13" s="9">
        <v>10</v>
      </c>
      <c r="H13" s="9">
        <v>10</v>
      </c>
      <c r="I13" s="15">
        <v>0.1</v>
      </c>
      <c r="J13" s="9">
        <v>2</v>
      </c>
      <c r="K13" s="17">
        <v>561.4</v>
      </c>
      <c r="L13" s="17">
        <v>79.7</v>
      </c>
      <c r="M13" s="17">
        <v>481.7</v>
      </c>
      <c r="N13" s="17">
        <v>0</v>
      </c>
      <c r="O13" s="9">
        <v>0</v>
      </c>
      <c r="P13" s="17">
        <v>1</v>
      </c>
      <c r="Q13" s="18">
        <f>IF(COUNT('GA Runs'!M41:M45)=0,"",MIN('GA Runs'!M41:M45))</f>
        <v>561.4</v>
      </c>
      <c r="R13" s="18">
        <f>IF($Q13="","",INDEX('GA Runs'!E41:E45,MATCH($Q13,'GA Runs'!M41:M45,0)))</f>
        <v>79.67</v>
      </c>
      <c r="S13" s="18">
        <f>IF($Q13="","",INDEX('GA Runs'!F41:F45,MATCH($Q13,'GA Runs'!M41:M45,0)))</f>
        <v>481.73</v>
      </c>
      <c r="T13" s="18">
        <f>IF($Q13="","",INDEX('GA Runs'!G41:G45,MATCH($Q13,'GA Runs'!M41:M45,0)))</f>
        <v>0</v>
      </c>
      <c r="U13" s="18">
        <f>IF($Q13="","",INDEX('GA Runs'!H41:H45,MATCH($Q13,'GA Runs'!M41:M45,0)))</f>
        <v>0</v>
      </c>
      <c r="V13" s="18">
        <f>IF($Q13="","",INDEX('GA Runs'!I41:I45,MATCH($Q13,'GA Runs'!M41:M45,0)))</f>
        <v>23.32</v>
      </c>
      <c r="W13" s="18">
        <f t="shared" si="0"/>
        <v>0</v>
      </c>
      <c r="X13" s="18">
        <f>IF(COUNT('GA Runs'!M41:M45)=0,"",AVERAGE('GA Runs'!M41:M45))</f>
        <v>565.99799999999993</v>
      </c>
      <c r="Y13" s="18">
        <f>IF(COUNT('GA Runs'!M41:M45)&lt;2,"",_xlfn.STDEV.S('GA Runs'!M41:M45))</f>
        <v>10.281440560544038</v>
      </c>
      <c r="Z13" s="22">
        <f>COUNT('GA Runs'!M41:M45)</f>
        <v>5</v>
      </c>
      <c r="AA13" s="18">
        <f>IF($Z13=0,"",AVERAGEIF('GA Runs'!M41:M45,"&gt;=0",'GA Runs'!I41:I45))</f>
        <v>21.273999999999997</v>
      </c>
      <c r="AB13" s="20">
        <v>4261.99</v>
      </c>
      <c r="AC13" s="20">
        <v>772.21</v>
      </c>
      <c r="AD13" s="20">
        <v>489.78</v>
      </c>
      <c r="AE13" s="20">
        <v>3000</v>
      </c>
      <c r="AF13" s="20">
        <v>1</v>
      </c>
      <c r="AG13" s="20">
        <v>0.74</v>
      </c>
      <c r="AH13" s="18">
        <f t="shared" si="1"/>
        <v>89.682858289843452</v>
      </c>
      <c r="AI13" s="18">
        <f t="shared" si="2"/>
        <v>100</v>
      </c>
      <c r="AJ13" s="18">
        <f t="shared" si="3"/>
        <v>95</v>
      </c>
      <c r="AK13" s="18">
        <f t="shared" si="4"/>
        <v>5</v>
      </c>
      <c r="AL13" s="10" t="str">
        <f t="shared" si="5"/>
        <v>OK</v>
      </c>
      <c r="AM13" s="11"/>
    </row>
    <row r="14" spans="1:39">
      <c r="A14" s="9" t="s">
        <v>45</v>
      </c>
      <c r="B14" s="9">
        <v>10</v>
      </c>
      <c r="C14" s="9">
        <v>20</v>
      </c>
      <c r="D14" s="9">
        <v>4</v>
      </c>
      <c r="E14" s="9">
        <v>2</v>
      </c>
      <c r="F14" s="15">
        <v>0.75</v>
      </c>
      <c r="G14" s="9">
        <v>15</v>
      </c>
      <c r="H14" s="9">
        <v>5</v>
      </c>
      <c r="I14" s="15">
        <v>0.1</v>
      </c>
      <c r="J14" s="9">
        <v>2</v>
      </c>
      <c r="K14" s="17">
        <v>792.4</v>
      </c>
      <c r="L14" s="17">
        <v>271.3</v>
      </c>
      <c r="M14" s="17">
        <v>521.1</v>
      </c>
      <c r="N14" s="17">
        <v>0</v>
      </c>
      <c r="O14" s="9">
        <v>0</v>
      </c>
      <c r="P14" s="17">
        <v>22</v>
      </c>
      <c r="Q14" s="18">
        <f>IF(COUNT('GA Runs'!M46:M50)=0,"",MIN('GA Runs'!M46:M50))</f>
        <v>794.98</v>
      </c>
      <c r="R14" s="18">
        <f>IF($Q14="","",INDEX('GA Runs'!E46:E50,MATCH($Q14,'GA Runs'!M46:M50,0)))</f>
        <v>283.68</v>
      </c>
      <c r="S14" s="18">
        <f>IF($Q14="","",INDEX('GA Runs'!F46:F50,MATCH($Q14,'GA Runs'!M46:M50,0)))</f>
        <v>511.3</v>
      </c>
      <c r="T14" s="18">
        <f>IF($Q14="","",INDEX('GA Runs'!G46:G50,MATCH($Q14,'GA Runs'!M46:M50,0)))</f>
        <v>0</v>
      </c>
      <c r="U14" s="18">
        <f>IF($Q14="","",INDEX('GA Runs'!H46:H50,MATCH($Q14,'GA Runs'!M46:M50,0)))</f>
        <v>0</v>
      </c>
      <c r="V14" s="18">
        <f>IF($Q14="","",INDEX('GA Runs'!I46:I50,MATCH($Q14,'GA Runs'!M46:M50,0)))</f>
        <v>15.03</v>
      </c>
      <c r="W14" s="18">
        <f t="shared" si="0"/>
        <v>0.32559313478041912</v>
      </c>
      <c r="X14" s="18">
        <f>IF(COUNT('GA Runs'!M46:M50)=0,"",AVERAGE('GA Runs'!M46:M50))</f>
        <v>801.50400000000002</v>
      </c>
      <c r="Y14" s="18">
        <f>IF(COUNT('GA Runs'!M46:M50)&lt;2,"",_xlfn.STDEV.S('GA Runs'!M46:M50))</f>
        <v>8.9333549129092304</v>
      </c>
      <c r="Z14" s="22">
        <f>COUNT('GA Runs'!M46:M50)</f>
        <v>5</v>
      </c>
      <c r="AA14" s="18">
        <f>IF($Z14=0,"",AVERAGEIF('GA Runs'!M46:M50,"&gt;=0",'GA Runs'!I46:I50))</f>
        <v>14.928000000000001</v>
      </c>
      <c r="AB14" s="20">
        <v>4717.05</v>
      </c>
      <c r="AC14" s="20">
        <v>1229.45</v>
      </c>
      <c r="AD14" s="20">
        <v>487.6</v>
      </c>
      <c r="AE14" s="20">
        <v>3000</v>
      </c>
      <c r="AF14" s="20">
        <v>1</v>
      </c>
      <c r="AG14" s="20">
        <v>0.37</v>
      </c>
      <c r="AH14" s="18">
        <f t="shared" si="1"/>
        <v>76.926267843344576</v>
      </c>
      <c r="AI14" s="18">
        <f t="shared" si="2"/>
        <v>100</v>
      </c>
      <c r="AJ14" s="18">
        <f t="shared" si="3"/>
        <v>95</v>
      </c>
      <c r="AK14" s="18">
        <f t="shared" si="4"/>
        <v>5</v>
      </c>
      <c r="AL14" s="10" t="str">
        <f t="shared" si="5"/>
        <v>OK</v>
      </c>
      <c r="AM14" s="11"/>
    </row>
    <row r="15" spans="1:39">
      <c r="A15" s="9" t="s">
        <v>46</v>
      </c>
      <c r="B15" s="9">
        <v>10</v>
      </c>
      <c r="C15" s="9">
        <v>20</v>
      </c>
      <c r="D15" s="9">
        <v>4</v>
      </c>
      <c r="E15" s="9">
        <v>2</v>
      </c>
      <c r="F15" s="15">
        <v>0.9</v>
      </c>
      <c r="G15" s="9">
        <v>18</v>
      </c>
      <c r="H15" s="9">
        <v>2</v>
      </c>
      <c r="I15" s="15">
        <v>0.1</v>
      </c>
      <c r="J15" s="9">
        <v>2</v>
      </c>
      <c r="K15" s="17">
        <v>850.1</v>
      </c>
      <c r="L15" s="17">
        <v>337.8</v>
      </c>
      <c r="M15" s="17">
        <v>512.29999999999995</v>
      </c>
      <c r="N15" s="17">
        <v>0</v>
      </c>
      <c r="O15" s="9">
        <v>0</v>
      </c>
      <c r="P15" s="17">
        <v>5</v>
      </c>
      <c r="Q15" s="18">
        <f>IF(COUNT('GA Runs'!M51:M55)=0,"",MIN('GA Runs'!M51:M55))</f>
        <v>850.08</v>
      </c>
      <c r="R15" s="18">
        <f>IF($Q15="","",INDEX('GA Runs'!E51:E55,MATCH($Q15,'GA Runs'!M51:M55,0)))</f>
        <v>337.81</v>
      </c>
      <c r="S15" s="18">
        <f>IF($Q15="","",INDEX('GA Runs'!F51:F55,MATCH($Q15,'GA Runs'!M51:M55,0)))</f>
        <v>512.27</v>
      </c>
      <c r="T15" s="18">
        <f>IF($Q15="","",INDEX('GA Runs'!G51:G55,MATCH($Q15,'GA Runs'!M51:M55,0)))</f>
        <v>0</v>
      </c>
      <c r="U15" s="18">
        <f>IF($Q15="","",INDEX('GA Runs'!H51:H55,MATCH($Q15,'GA Runs'!M51:M55,0)))</f>
        <v>0</v>
      </c>
      <c r="V15" s="18">
        <f>IF($Q15="","",INDEX('GA Runs'!I51:I55,MATCH($Q15,'GA Runs'!M51:M55,0)))</f>
        <v>15.58</v>
      </c>
      <c r="W15" s="18">
        <f t="shared" si="0"/>
        <v>-2.3526643924222808E-3</v>
      </c>
      <c r="X15" s="18">
        <f>IF(COUNT('GA Runs'!M51:M55)=0,"",AVERAGE('GA Runs'!M51:M55))</f>
        <v>856.24</v>
      </c>
      <c r="Y15" s="18">
        <f>IF(COUNT('GA Runs'!M51:M55)&lt;2,"",_xlfn.STDEV.S('GA Runs'!M51:M55))</f>
        <v>13.774178741398682</v>
      </c>
      <c r="Z15" s="22">
        <f>COUNT('GA Runs'!M51:M55)</f>
        <v>5</v>
      </c>
      <c r="AA15" s="18">
        <f>IF($Z15=0,"",AVERAGEIF('GA Runs'!M51:M55,"&gt;=0",'GA Runs'!I51:I55))</f>
        <v>15.065999999999999</v>
      </c>
      <c r="AB15" s="20">
        <v>1910.71</v>
      </c>
      <c r="AC15" s="20">
        <v>1393.09</v>
      </c>
      <c r="AD15" s="20">
        <v>517.62</v>
      </c>
      <c r="AE15" s="20">
        <v>0</v>
      </c>
      <c r="AF15" s="20">
        <v>0</v>
      </c>
      <c r="AG15" s="20">
        <v>0.36</v>
      </c>
      <c r="AH15" s="18">
        <f t="shared" si="1"/>
        <v>75.751028289629531</v>
      </c>
      <c r="AI15" s="18">
        <f t="shared" si="2"/>
        <v>100</v>
      </c>
      <c r="AJ15" s="18">
        <f t="shared" si="3"/>
        <v>100</v>
      </c>
      <c r="AK15" s="18">
        <f t="shared" si="4"/>
        <v>0</v>
      </c>
      <c r="AL15" s="10" t="str">
        <f t="shared" si="5"/>
        <v>OK</v>
      </c>
      <c r="AM15" s="11"/>
    </row>
    <row r="16" spans="1:39">
      <c r="A16" s="9" t="s">
        <v>47</v>
      </c>
      <c r="B16" s="9">
        <v>42</v>
      </c>
      <c r="C16" s="9">
        <v>20</v>
      </c>
      <c r="D16" s="9">
        <v>4</v>
      </c>
      <c r="E16" s="9">
        <v>2</v>
      </c>
      <c r="F16" s="15">
        <v>0.1</v>
      </c>
      <c r="G16" s="9">
        <v>2</v>
      </c>
      <c r="H16" s="9">
        <v>18</v>
      </c>
      <c r="I16" s="15">
        <v>0.1</v>
      </c>
      <c r="J16" s="9">
        <v>2</v>
      </c>
      <c r="K16" s="17">
        <v>448.4</v>
      </c>
      <c r="L16" s="17">
        <v>0</v>
      </c>
      <c r="M16" s="17">
        <v>448.4</v>
      </c>
      <c r="N16" s="17">
        <v>0</v>
      </c>
      <c r="O16" s="9">
        <v>0</v>
      </c>
      <c r="P16" s="17">
        <v>2</v>
      </c>
      <c r="Q16" s="18">
        <f>IF(COUNT('GA Runs'!M56:M60)=0,"",MIN('GA Runs'!M56:M60))</f>
        <v>448.41</v>
      </c>
      <c r="R16" s="18">
        <f>IF($Q16="","",INDEX('GA Runs'!E56:E60,MATCH($Q16,'GA Runs'!M56:M60,0)))</f>
        <v>0</v>
      </c>
      <c r="S16" s="18">
        <f>IF($Q16="","",INDEX('GA Runs'!F56:F60,MATCH($Q16,'GA Runs'!M56:M60,0)))</f>
        <v>448.41</v>
      </c>
      <c r="T16" s="18">
        <f>IF($Q16="","",INDEX('GA Runs'!G56:G60,MATCH($Q16,'GA Runs'!M56:M60,0)))</f>
        <v>0</v>
      </c>
      <c r="U16" s="18">
        <f>IF($Q16="","",INDEX('GA Runs'!H56:H60,MATCH($Q16,'GA Runs'!M56:M60,0)))</f>
        <v>0</v>
      </c>
      <c r="V16" s="18">
        <f>IF($Q16="","",INDEX('GA Runs'!I56:I60,MATCH($Q16,'GA Runs'!M56:M60,0)))</f>
        <v>23.49</v>
      </c>
      <c r="W16" s="18">
        <f t="shared" si="0"/>
        <v>2.2301516503228699E-3</v>
      </c>
      <c r="X16" s="18">
        <f>IF(COUNT('GA Runs'!M56:M60)=0,"",AVERAGE('GA Runs'!M56:M60))</f>
        <v>454.20799999999997</v>
      </c>
      <c r="Y16" s="18">
        <f>IF(COUNT('GA Runs'!M56:M60)&lt;2,"",_xlfn.STDEV.S('GA Runs'!M56:M60))</f>
        <v>6.597171363546658</v>
      </c>
      <c r="Z16" s="22">
        <f>COUNT('GA Runs'!M56:M60)</f>
        <v>5</v>
      </c>
      <c r="AA16" s="18">
        <f>IF($Z16=0,"",AVERAGEIF('GA Runs'!M56:M60,"&gt;=0",'GA Runs'!I56:I60))</f>
        <v>21.783999999999999</v>
      </c>
      <c r="AB16" s="20">
        <v>704</v>
      </c>
      <c r="AC16" s="20">
        <v>270.67</v>
      </c>
      <c r="AD16" s="20">
        <v>433.33</v>
      </c>
      <c r="AE16" s="20">
        <v>0</v>
      </c>
      <c r="AF16" s="20">
        <v>0</v>
      </c>
      <c r="AG16" s="20">
        <v>1.54</v>
      </c>
      <c r="AH16" s="18">
        <f t="shared" si="1"/>
        <v>100</v>
      </c>
      <c r="AI16" s="18">
        <f t="shared" si="2"/>
        <v>100</v>
      </c>
      <c r="AJ16" s="18">
        <f t="shared" si="3"/>
        <v>100</v>
      </c>
      <c r="AK16" s="18">
        <f t="shared" si="4"/>
        <v>0</v>
      </c>
      <c r="AL16" s="10" t="str">
        <f t="shared" si="5"/>
        <v>OK</v>
      </c>
      <c r="AM16" s="11"/>
    </row>
    <row r="17" spans="1:39">
      <c r="A17" s="9" t="s">
        <v>48</v>
      </c>
      <c r="B17" s="9">
        <v>42</v>
      </c>
      <c r="C17" s="9">
        <v>20</v>
      </c>
      <c r="D17" s="9">
        <v>4</v>
      </c>
      <c r="E17" s="9">
        <v>2</v>
      </c>
      <c r="F17" s="15">
        <v>0.25</v>
      </c>
      <c r="G17" s="9">
        <v>5</v>
      </c>
      <c r="H17" s="9">
        <v>15</v>
      </c>
      <c r="I17" s="15">
        <v>0.1</v>
      </c>
      <c r="J17" s="9">
        <v>2</v>
      </c>
      <c r="K17" s="17">
        <v>462.8</v>
      </c>
      <c r="L17" s="17">
        <v>11.4</v>
      </c>
      <c r="M17" s="17">
        <v>451.4</v>
      </c>
      <c r="N17" s="17">
        <v>0</v>
      </c>
      <c r="O17" s="9">
        <v>0</v>
      </c>
      <c r="P17" s="17">
        <v>1</v>
      </c>
      <c r="Q17" s="18">
        <f>IF(COUNT('GA Runs'!M61:M65)=0,"",MIN('GA Runs'!M61:M65))</f>
        <v>475.18</v>
      </c>
      <c r="R17" s="18">
        <f>IF($Q17="","",INDEX('GA Runs'!E61:E65,MATCH($Q17,'GA Runs'!M61:M65,0)))</f>
        <v>18.5</v>
      </c>
      <c r="S17" s="18">
        <f>IF($Q17="","",INDEX('GA Runs'!F61:F65,MATCH($Q17,'GA Runs'!M61:M65,0)))</f>
        <v>456.68</v>
      </c>
      <c r="T17" s="18">
        <f>IF($Q17="","",INDEX('GA Runs'!G61:G65,MATCH($Q17,'GA Runs'!M61:M65,0)))</f>
        <v>0</v>
      </c>
      <c r="U17" s="18">
        <f>IF($Q17="","",INDEX('GA Runs'!H61:H65,MATCH($Q17,'GA Runs'!M61:M65,0)))</f>
        <v>0</v>
      </c>
      <c r="V17" s="18">
        <f>IF($Q17="","",INDEX('GA Runs'!I61:I65,MATCH($Q17,'GA Runs'!M61:M65,0)))</f>
        <v>19.48</v>
      </c>
      <c r="W17" s="18">
        <f t="shared" si="0"/>
        <v>2.6750216076058764</v>
      </c>
      <c r="X17" s="18">
        <f>IF(COUNT('GA Runs'!M61:M65)=0,"",AVERAGE('GA Runs'!M61:M65))</f>
        <v>488.96400000000006</v>
      </c>
      <c r="Y17" s="18">
        <f>IF(COUNT('GA Runs'!M61:M65)&lt;2,"",_xlfn.STDEV.S('GA Runs'!M61:M65))</f>
        <v>12.104994010737887</v>
      </c>
      <c r="Z17" s="22">
        <f>COUNT('GA Runs'!M61:M65)</f>
        <v>5</v>
      </c>
      <c r="AA17" s="18">
        <f>IF($Z17=0,"",AVERAGEIF('GA Runs'!M61:M65,"&gt;=0",'GA Runs'!I61:I65))</f>
        <v>19.458000000000002</v>
      </c>
      <c r="AB17" s="20">
        <v>1132.3699999999999</v>
      </c>
      <c r="AC17" s="20">
        <v>640.78</v>
      </c>
      <c r="AD17" s="20">
        <v>491.59</v>
      </c>
      <c r="AE17" s="20">
        <v>0</v>
      </c>
      <c r="AF17" s="20">
        <v>0</v>
      </c>
      <c r="AG17" s="20">
        <v>1.85</v>
      </c>
      <c r="AH17" s="18">
        <f t="shared" si="1"/>
        <v>97.112893660850844</v>
      </c>
      <c r="AI17" s="18">
        <f t="shared" si="2"/>
        <v>100</v>
      </c>
      <c r="AJ17" s="18">
        <f t="shared" si="3"/>
        <v>100</v>
      </c>
      <c r="AK17" s="18">
        <f t="shared" si="4"/>
        <v>0</v>
      </c>
      <c r="AL17" s="10" t="str">
        <f t="shared" si="5"/>
        <v>OK</v>
      </c>
      <c r="AM17" s="11"/>
    </row>
    <row r="18" spans="1:39">
      <c r="A18" s="9" t="s">
        <v>49</v>
      </c>
      <c r="B18" s="9">
        <v>42</v>
      </c>
      <c r="C18" s="9">
        <v>20</v>
      </c>
      <c r="D18" s="9">
        <v>4</v>
      </c>
      <c r="E18" s="9">
        <v>2</v>
      </c>
      <c r="F18" s="15">
        <v>0.5</v>
      </c>
      <c r="G18" s="9">
        <v>10</v>
      </c>
      <c r="H18" s="9">
        <v>10</v>
      </c>
      <c r="I18" s="15">
        <v>0.1</v>
      </c>
      <c r="J18" s="9">
        <v>2</v>
      </c>
      <c r="K18" s="17">
        <v>576.29999999999995</v>
      </c>
      <c r="L18" s="17">
        <v>121.2</v>
      </c>
      <c r="M18" s="17">
        <v>455.1</v>
      </c>
      <c r="N18" s="17">
        <v>0</v>
      </c>
      <c r="O18" s="9">
        <v>0</v>
      </c>
      <c r="P18" s="17">
        <v>3</v>
      </c>
      <c r="Q18" s="18">
        <f>IF(COUNT('GA Runs'!M66:M70)=0,"",MIN('GA Runs'!M66:M70))</f>
        <v>576.30999999999995</v>
      </c>
      <c r="R18" s="18">
        <f>IF($Q18="","",INDEX('GA Runs'!E66:E70,MATCH($Q18,'GA Runs'!M66:M70,0)))</f>
        <v>121.19</v>
      </c>
      <c r="S18" s="18">
        <f>IF($Q18="","",INDEX('GA Runs'!F66:F70,MATCH($Q18,'GA Runs'!M66:M70,0)))</f>
        <v>455.12</v>
      </c>
      <c r="T18" s="18">
        <f>IF($Q18="","",INDEX('GA Runs'!G66:G70,MATCH($Q18,'GA Runs'!M66:M70,0)))</f>
        <v>0</v>
      </c>
      <c r="U18" s="18">
        <f>IF($Q18="","",INDEX('GA Runs'!H66:H70,MATCH($Q18,'GA Runs'!M66:M70,0)))</f>
        <v>0</v>
      </c>
      <c r="V18" s="18">
        <f>IF($Q18="","",INDEX('GA Runs'!I66:I70,MATCH($Q18,'GA Runs'!M66:M70,0)))</f>
        <v>19.2</v>
      </c>
      <c r="W18" s="18">
        <f t="shared" si="0"/>
        <v>1.7352073572776169E-3</v>
      </c>
      <c r="X18" s="18">
        <f>IF(COUNT('GA Runs'!M66:M70)=0,"",AVERAGE('GA Runs'!M66:M70))</f>
        <v>702.51800000000003</v>
      </c>
      <c r="Y18" s="18">
        <f>IF(COUNT('GA Runs'!M66:M70)&lt;2,"",_xlfn.STDEV.S('GA Runs'!M66:M70))</f>
        <v>71.273816159933546</v>
      </c>
      <c r="Z18" s="22">
        <f>COUNT('GA Runs'!M66:M70)</f>
        <v>5</v>
      </c>
      <c r="AA18" s="18">
        <f>IF($Z18=0,"",AVERAGEIF('GA Runs'!M66:M70,"&gt;=0",'GA Runs'!I66:I70))</f>
        <v>18.834</v>
      </c>
      <c r="AB18" s="20">
        <v>4121.43</v>
      </c>
      <c r="AC18" s="20">
        <v>656.95</v>
      </c>
      <c r="AD18" s="20">
        <v>464.47</v>
      </c>
      <c r="AE18" s="20">
        <v>3000</v>
      </c>
      <c r="AF18" s="20">
        <v>1</v>
      </c>
      <c r="AG18" s="20">
        <v>0.8</v>
      </c>
      <c r="AH18" s="18">
        <f t="shared" si="1"/>
        <v>81.552629576071226</v>
      </c>
      <c r="AI18" s="18">
        <f t="shared" si="2"/>
        <v>100</v>
      </c>
      <c r="AJ18" s="18">
        <f t="shared" si="3"/>
        <v>95</v>
      </c>
      <c r="AK18" s="18">
        <f t="shared" si="4"/>
        <v>5</v>
      </c>
      <c r="AL18" s="10" t="str">
        <f t="shared" si="5"/>
        <v>OK</v>
      </c>
      <c r="AM18" s="11"/>
    </row>
    <row r="19" spans="1:39">
      <c r="A19" s="9" t="s">
        <v>50</v>
      </c>
      <c r="B19" s="9">
        <v>42</v>
      </c>
      <c r="C19" s="9">
        <v>20</v>
      </c>
      <c r="D19" s="9">
        <v>4</v>
      </c>
      <c r="E19" s="9">
        <v>2</v>
      </c>
      <c r="F19" s="15">
        <v>0.75</v>
      </c>
      <c r="G19" s="9">
        <v>15</v>
      </c>
      <c r="H19" s="9">
        <v>5</v>
      </c>
      <c r="I19" s="15">
        <v>0.1</v>
      </c>
      <c r="J19" s="9">
        <v>2</v>
      </c>
      <c r="K19" s="17">
        <v>803.8</v>
      </c>
      <c r="L19" s="17">
        <v>336.1</v>
      </c>
      <c r="M19" s="17">
        <v>467.7</v>
      </c>
      <c r="N19" s="17">
        <v>0</v>
      </c>
      <c r="O19" s="9">
        <v>0</v>
      </c>
      <c r="P19" s="17">
        <v>4</v>
      </c>
      <c r="Q19" s="18">
        <f>IF(COUNT('GA Runs'!M71:M75)=0,"",MIN('GA Runs'!M71:M75))</f>
        <v>805.65</v>
      </c>
      <c r="R19" s="18">
        <f>IF($Q19="","",INDEX('GA Runs'!E71:E75,MATCH($Q19,'GA Runs'!M71:M75,0)))</f>
        <v>337.92</v>
      </c>
      <c r="S19" s="18">
        <f>IF($Q19="","",INDEX('GA Runs'!F71:F75,MATCH($Q19,'GA Runs'!M71:M75,0)))</f>
        <v>467.73</v>
      </c>
      <c r="T19" s="18">
        <f>IF($Q19="","",INDEX('GA Runs'!G71:G75,MATCH($Q19,'GA Runs'!M71:M75,0)))</f>
        <v>0</v>
      </c>
      <c r="U19" s="18">
        <f>IF($Q19="","",INDEX('GA Runs'!H71:H75,MATCH($Q19,'GA Runs'!M71:M75,0)))</f>
        <v>0</v>
      </c>
      <c r="V19" s="18">
        <f>IF($Q19="","",INDEX('GA Runs'!I71:I75,MATCH($Q19,'GA Runs'!M71:M75,0)))</f>
        <v>15.62</v>
      </c>
      <c r="W19" s="18">
        <f t="shared" si="0"/>
        <v>0.23015675541179681</v>
      </c>
      <c r="X19" s="18">
        <f>IF(COUNT('GA Runs'!M71:M75)=0,"",AVERAGE('GA Runs'!M71:M75))</f>
        <v>855.03399999999999</v>
      </c>
      <c r="Y19" s="18">
        <f>IF(COUNT('GA Runs'!M71:M75)&lt;2,"",_xlfn.STDEV.S('GA Runs'!M71:M75))</f>
        <v>48.348323962677334</v>
      </c>
      <c r="Z19" s="22">
        <f>COUNT('GA Runs'!M71:M75)</f>
        <v>5</v>
      </c>
      <c r="AA19" s="18">
        <f>IF($Z19=0,"",AVERAGEIF('GA Runs'!M71:M75,"&gt;=0",'GA Runs'!I71:I75))</f>
        <v>15.404</v>
      </c>
      <c r="AB19" s="20">
        <v>7487.96</v>
      </c>
      <c r="AC19" s="20">
        <v>1064.1400000000001</v>
      </c>
      <c r="AD19" s="20">
        <v>423.82</v>
      </c>
      <c r="AE19" s="20">
        <v>6000</v>
      </c>
      <c r="AF19" s="20">
        <v>2</v>
      </c>
      <c r="AG19" s="20">
        <v>0.64</v>
      </c>
      <c r="AH19" s="18">
        <f t="shared" si="1"/>
        <v>68.244779822203839</v>
      </c>
      <c r="AI19" s="18">
        <f t="shared" si="2"/>
        <v>100</v>
      </c>
      <c r="AJ19" s="18">
        <f t="shared" si="3"/>
        <v>90</v>
      </c>
      <c r="AK19" s="18">
        <f t="shared" si="4"/>
        <v>10</v>
      </c>
      <c r="AL19" s="10" t="str">
        <f t="shared" si="5"/>
        <v>OK</v>
      </c>
      <c r="AM19" s="11"/>
    </row>
    <row r="20" spans="1:39">
      <c r="A20" s="9" t="s">
        <v>51</v>
      </c>
      <c r="B20" s="9">
        <v>42</v>
      </c>
      <c r="C20" s="9">
        <v>20</v>
      </c>
      <c r="D20" s="9">
        <v>4</v>
      </c>
      <c r="E20" s="9">
        <v>2</v>
      </c>
      <c r="F20" s="15">
        <v>0.9</v>
      </c>
      <c r="G20" s="9">
        <v>18</v>
      </c>
      <c r="H20" s="9">
        <v>2</v>
      </c>
      <c r="I20" s="15">
        <v>0.1</v>
      </c>
      <c r="J20" s="9">
        <v>2</v>
      </c>
      <c r="K20" s="17">
        <v>976.2</v>
      </c>
      <c r="L20" s="17">
        <v>429.9</v>
      </c>
      <c r="M20" s="17">
        <v>546.29999999999995</v>
      </c>
      <c r="N20" s="17">
        <v>0</v>
      </c>
      <c r="O20" s="9">
        <v>0</v>
      </c>
      <c r="P20" s="17">
        <v>14</v>
      </c>
      <c r="Q20" s="18">
        <f>IF(COUNT('GA Runs'!M76:M80)=0,"",MIN('GA Runs'!M76:M80))</f>
        <v>976.12</v>
      </c>
      <c r="R20" s="18">
        <f>IF($Q20="","",INDEX('GA Runs'!E76:E80,MATCH($Q20,'GA Runs'!M76:M80,0)))</f>
        <v>429.86</v>
      </c>
      <c r="S20" s="18">
        <f>IF($Q20="","",INDEX('GA Runs'!F76:F80,MATCH($Q20,'GA Runs'!M76:M80,0)))</f>
        <v>546.26</v>
      </c>
      <c r="T20" s="18">
        <f>IF($Q20="","",INDEX('GA Runs'!G76:G80,MATCH($Q20,'GA Runs'!M76:M80,0)))</f>
        <v>0</v>
      </c>
      <c r="U20" s="18">
        <f>IF($Q20="","",INDEX('GA Runs'!H76:H80,MATCH($Q20,'GA Runs'!M76:M80,0)))</f>
        <v>0</v>
      </c>
      <c r="V20" s="18">
        <f>IF($Q20="","",INDEX('GA Runs'!I76:I80,MATCH($Q20,'GA Runs'!M76:M80,0)))</f>
        <v>15.14</v>
      </c>
      <c r="W20" s="18">
        <f t="shared" si="0"/>
        <v>-8.1950419995944403E-3</v>
      </c>
      <c r="X20" s="18">
        <f>IF(COUNT('GA Runs'!M76:M80)=0,"",AVERAGE('GA Runs'!M76:M80))</f>
        <v>985.95399999999995</v>
      </c>
      <c r="Y20" s="18">
        <f>IF(COUNT('GA Runs'!M76:M80)&lt;2,"",_xlfn.STDEV.S('GA Runs'!M76:M80))</f>
        <v>11.590585835064589</v>
      </c>
      <c r="Z20" s="22">
        <f>COUNT('GA Runs'!M76:M80)</f>
        <v>5</v>
      </c>
      <c r="AA20" s="18">
        <f>IF($Z20=0,"",AVERAGEIF('GA Runs'!M76:M80,"&gt;=0",'GA Runs'!I76:I80))</f>
        <v>15.028</v>
      </c>
      <c r="AB20" s="20">
        <v>5689.48</v>
      </c>
      <c r="AC20" s="20">
        <v>1283.47</v>
      </c>
      <c r="AD20" s="20">
        <v>406.01</v>
      </c>
      <c r="AE20" s="20">
        <v>4000</v>
      </c>
      <c r="AF20" s="20">
        <v>1</v>
      </c>
      <c r="AG20" s="20">
        <v>0.6</v>
      </c>
      <c r="AH20" s="18">
        <f t="shared" si="1"/>
        <v>66.507982266823532</v>
      </c>
      <c r="AI20" s="18">
        <f t="shared" si="2"/>
        <v>100</v>
      </c>
      <c r="AJ20" s="18">
        <f t="shared" si="3"/>
        <v>95</v>
      </c>
      <c r="AK20" s="18">
        <f t="shared" si="4"/>
        <v>5</v>
      </c>
      <c r="AL20" s="10" t="str">
        <f t="shared" si="5"/>
        <v>OK</v>
      </c>
      <c r="AM20" s="11"/>
    </row>
    <row r="21" spans="1:39">
      <c r="A21" s="9" t="s">
        <v>52</v>
      </c>
      <c r="B21" s="9">
        <v>64</v>
      </c>
      <c r="C21" s="9">
        <v>20</v>
      </c>
      <c r="D21" s="9">
        <v>4</v>
      </c>
      <c r="E21" s="9">
        <v>2</v>
      </c>
      <c r="F21" s="15">
        <v>0.1</v>
      </c>
      <c r="G21" s="9">
        <v>2</v>
      </c>
      <c r="H21" s="9">
        <v>18</v>
      </c>
      <c r="I21" s="15">
        <v>0.1</v>
      </c>
      <c r="J21" s="9">
        <v>2</v>
      </c>
      <c r="K21" s="17">
        <v>524.20000000000005</v>
      </c>
      <c r="L21" s="17">
        <v>43.4</v>
      </c>
      <c r="M21" s="17">
        <v>480.8</v>
      </c>
      <c r="N21" s="17">
        <v>0</v>
      </c>
      <c r="O21" s="9">
        <v>0</v>
      </c>
      <c r="P21" s="17">
        <v>1</v>
      </c>
      <c r="Q21" s="18">
        <f>IF(COUNT('GA Runs'!M81:M85)=0,"",MIN('GA Runs'!M81:M85))</f>
        <v>525.30999999999995</v>
      </c>
      <c r="R21" s="18">
        <f>IF($Q21="","",INDEX('GA Runs'!E81:E85,MATCH($Q21,'GA Runs'!M81:M85,0)))</f>
        <v>43.4</v>
      </c>
      <c r="S21" s="18">
        <f>IF($Q21="","",INDEX('GA Runs'!F81:F85,MATCH($Q21,'GA Runs'!M81:M85,0)))</f>
        <v>481.91</v>
      </c>
      <c r="T21" s="18">
        <f>IF($Q21="","",INDEX('GA Runs'!G81:G85,MATCH($Q21,'GA Runs'!M81:M85,0)))</f>
        <v>0</v>
      </c>
      <c r="U21" s="18">
        <f>IF($Q21="","",INDEX('GA Runs'!H81:H85,MATCH($Q21,'GA Runs'!M81:M85,0)))</f>
        <v>0</v>
      </c>
      <c r="V21" s="18">
        <f>IF($Q21="","",INDEX('GA Runs'!I81:I85,MATCH($Q21,'GA Runs'!M81:M85,0)))</f>
        <v>22.3</v>
      </c>
      <c r="W21" s="18">
        <f t="shared" si="0"/>
        <v>0.21175123998471954</v>
      </c>
      <c r="X21" s="18">
        <f>IF(COUNT('GA Runs'!M81:M85)=0,"",AVERAGE('GA Runs'!M81:M85))</f>
        <v>528.404</v>
      </c>
      <c r="Y21" s="18">
        <f>IF(COUNT('GA Runs'!M81:M85)&lt;2,"",_xlfn.STDEV.S('GA Runs'!M81:M85))</f>
        <v>4.2534903314807639</v>
      </c>
      <c r="Z21" s="22">
        <f>COUNT('GA Runs'!M81:M85)</f>
        <v>5</v>
      </c>
      <c r="AA21" s="18">
        <f>IF($Z21=0,"",AVERAGEIF('GA Runs'!M81:M85,"&gt;=0",'GA Runs'!I81:I85))</f>
        <v>21.224</v>
      </c>
      <c r="AB21" s="20">
        <v>646.30999999999995</v>
      </c>
      <c r="AC21" s="20">
        <v>163.54</v>
      </c>
      <c r="AD21" s="20">
        <v>482.77</v>
      </c>
      <c r="AE21" s="20">
        <v>0</v>
      </c>
      <c r="AF21" s="20">
        <v>0</v>
      </c>
      <c r="AG21" s="20">
        <v>1.8</v>
      </c>
      <c r="AH21" s="18">
        <f t="shared" si="1"/>
        <v>73.462149932738157</v>
      </c>
      <c r="AI21" s="18">
        <f t="shared" si="2"/>
        <v>100</v>
      </c>
      <c r="AJ21" s="18">
        <f t="shared" si="3"/>
        <v>100</v>
      </c>
      <c r="AK21" s="18">
        <f t="shared" si="4"/>
        <v>0</v>
      </c>
      <c r="AL21" s="10" t="str">
        <f t="shared" si="5"/>
        <v>OK</v>
      </c>
      <c r="AM21" s="11"/>
    </row>
    <row r="22" spans="1:39">
      <c r="A22" s="9" t="s">
        <v>53</v>
      </c>
      <c r="B22" s="9">
        <v>64</v>
      </c>
      <c r="C22" s="9">
        <v>20</v>
      </c>
      <c r="D22" s="9">
        <v>4</v>
      </c>
      <c r="E22" s="9">
        <v>2</v>
      </c>
      <c r="F22" s="15">
        <v>0.25</v>
      </c>
      <c r="G22" s="9">
        <v>5</v>
      </c>
      <c r="H22" s="9">
        <v>15</v>
      </c>
      <c r="I22" s="15">
        <v>0.1</v>
      </c>
      <c r="J22" s="9">
        <v>2</v>
      </c>
      <c r="K22" s="17">
        <v>539.4</v>
      </c>
      <c r="L22" s="17">
        <v>43.4</v>
      </c>
      <c r="M22" s="17">
        <v>496</v>
      </c>
      <c r="N22" s="17">
        <v>0</v>
      </c>
      <c r="O22" s="9">
        <v>0</v>
      </c>
      <c r="P22" s="17">
        <v>1</v>
      </c>
      <c r="Q22" s="18">
        <f>IF(COUNT('GA Runs'!M86:M90)=0,"",MIN('GA Runs'!M86:M90))</f>
        <v>539.41</v>
      </c>
      <c r="R22" s="18">
        <f>IF($Q22="","",INDEX('GA Runs'!E86:E90,MATCH($Q22,'GA Runs'!M86:M90,0)))</f>
        <v>43.4</v>
      </c>
      <c r="S22" s="18">
        <f>IF($Q22="","",INDEX('GA Runs'!F86:F90,MATCH($Q22,'GA Runs'!M86:M90,0)))</f>
        <v>496.01</v>
      </c>
      <c r="T22" s="18">
        <f>IF($Q22="","",INDEX('GA Runs'!G86:G90,MATCH($Q22,'GA Runs'!M86:M90,0)))</f>
        <v>0</v>
      </c>
      <c r="U22" s="18">
        <f>IF($Q22="","",INDEX('GA Runs'!H86:H90,MATCH($Q22,'GA Runs'!M86:M90,0)))</f>
        <v>0</v>
      </c>
      <c r="V22" s="18">
        <f>IF($Q22="","",INDEX('GA Runs'!I86:I90,MATCH($Q22,'GA Runs'!M86:M90,0)))</f>
        <v>21.88</v>
      </c>
      <c r="W22" s="18">
        <f t="shared" si="0"/>
        <v>1.853911753798833E-3</v>
      </c>
      <c r="X22" s="18">
        <f>IF(COUNT('GA Runs'!M86:M90)=0,"",AVERAGE('GA Runs'!M86:M90))</f>
        <v>544.33999999999992</v>
      </c>
      <c r="Y22" s="18">
        <f>IF(COUNT('GA Runs'!M86:M90)&lt;2,"",_xlfn.STDEV.S('GA Runs'!M86:M90))</f>
        <v>8.3024273559002353</v>
      </c>
      <c r="Z22" s="22">
        <f>COUNT('GA Runs'!M86:M90)</f>
        <v>5</v>
      </c>
      <c r="AA22" s="18">
        <f>IF($Z22=0,"",AVERAGEIF('GA Runs'!M86:M90,"&gt;=0",'GA Runs'!I86:I90))</f>
        <v>21.276</v>
      </c>
      <c r="AB22" s="20">
        <v>929.76</v>
      </c>
      <c r="AC22" s="20">
        <v>426.3</v>
      </c>
      <c r="AD22" s="20">
        <v>503.46</v>
      </c>
      <c r="AE22" s="20">
        <v>0</v>
      </c>
      <c r="AF22" s="20">
        <v>0</v>
      </c>
      <c r="AG22" s="20">
        <v>1.56</v>
      </c>
      <c r="AH22" s="18">
        <f t="shared" si="1"/>
        <v>89.819376026272579</v>
      </c>
      <c r="AI22" s="18">
        <f t="shared" si="2"/>
        <v>100</v>
      </c>
      <c r="AJ22" s="18">
        <f t="shared" si="3"/>
        <v>100</v>
      </c>
      <c r="AK22" s="18">
        <f t="shared" si="4"/>
        <v>0</v>
      </c>
      <c r="AL22" s="10" t="str">
        <f t="shared" si="5"/>
        <v>OK</v>
      </c>
      <c r="AM22" s="11"/>
    </row>
    <row r="23" spans="1:39">
      <c r="A23" s="9" t="s">
        <v>54</v>
      </c>
      <c r="B23" s="9">
        <v>64</v>
      </c>
      <c r="C23" s="9">
        <v>20</v>
      </c>
      <c r="D23" s="9">
        <v>4</v>
      </c>
      <c r="E23" s="9">
        <v>2</v>
      </c>
      <c r="F23" s="15">
        <v>0.5</v>
      </c>
      <c r="G23" s="9">
        <v>10</v>
      </c>
      <c r="H23" s="9">
        <v>10</v>
      </c>
      <c r="I23" s="15">
        <v>0.1</v>
      </c>
      <c r="J23" s="9">
        <v>2</v>
      </c>
      <c r="K23" s="17">
        <v>693.7</v>
      </c>
      <c r="L23" s="17">
        <v>194.2</v>
      </c>
      <c r="M23" s="17">
        <v>499.5</v>
      </c>
      <c r="N23" s="17">
        <v>0</v>
      </c>
      <c r="O23" s="9">
        <v>0</v>
      </c>
      <c r="P23" s="17">
        <v>1</v>
      </c>
      <c r="Q23" s="18">
        <f>IF(COUNT('GA Runs'!M91:M95)=0,"",MIN('GA Runs'!M91:M95))</f>
        <v>693.73</v>
      </c>
      <c r="R23" s="18">
        <f>IF($Q23="","",INDEX('GA Runs'!E91:E95,MATCH($Q23,'GA Runs'!M91:M95,0)))</f>
        <v>194.24</v>
      </c>
      <c r="S23" s="18">
        <f>IF($Q23="","",INDEX('GA Runs'!F91:F95,MATCH($Q23,'GA Runs'!M91:M95,0)))</f>
        <v>499.49</v>
      </c>
      <c r="T23" s="18">
        <f>IF($Q23="","",INDEX('GA Runs'!G91:G95,MATCH($Q23,'GA Runs'!M91:M95,0)))</f>
        <v>0</v>
      </c>
      <c r="U23" s="18">
        <f>IF($Q23="","",INDEX('GA Runs'!H91:H95,MATCH($Q23,'GA Runs'!M91:M95,0)))</f>
        <v>0</v>
      </c>
      <c r="V23" s="18">
        <f>IF($Q23="","",INDEX('GA Runs'!I91:I95,MATCH($Q23,'GA Runs'!M91:M95,0)))</f>
        <v>13.85</v>
      </c>
      <c r="W23" s="18">
        <f t="shared" si="0"/>
        <v>4.3246360097985749E-3</v>
      </c>
      <c r="X23" s="18">
        <f>IF(COUNT('GA Runs'!M91:M95)=0,"",AVERAGE('GA Runs'!M91:M95))</f>
        <v>700.69</v>
      </c>
      <c r="Y23" s="18">
        <f>IF(COUNT('GA Runs'!M91:M95)&lt;2,"",_xlfn.STDEV.S('GA Runs'!M91:M95))</f>
        <v>8.1805990000732844</v>
      </c>
      <c r="Z23" s="22">
        <f>COUNT('GA Runs'!M91:M95)</f>
        <v>5</v>
      </c>
      <c r="AA23" s="18">
        <f>IF($Z23=0,"",AVERAGEIF('GA Runs'!M91:M95,"&gt;=0",'GA Runs'!I91:I95))</f>
        <v>15.051999999999998</v>
      </c>
      <c r="AB23" s="20">
        <v>1189.6600000000001</v>
      </c>
      <c r="AC23" s="20">
        <v>682.94</v>
      </c>
      <c r="AD23" s="20">
        <v>506.72</v>
      </c>
      <c r="AE23" s="20">
        <v>0</v>
      </c>
      <c r="AF23" s="20">
        <v>0</v>
      </c>
      <c r="AG23" s="20">
        <v>1.03</v>
      </c>
      <c r="AH23" s="18">
        <f t="shared" si="1"/>
        <v>71.55826280493163</v>
      </c>
      <c r="AI23" s="18">
        <f t="shared" si="2"/>
        <v>100</v>
      </c>
      <c r="AJ23" s="18">
        <f t="shared" si="3"/>
        <v>100</v>
      </c>
      <c r="AK23" s="18">
        <f t="shared" si="4"/>
        <v>0</v>
      </c>
      <c r="AL23" s="10" t="str">
        <f t="shared" si="5"/>
        <v>OK</v>
      </c>
      <c r="AM23" s="11"/>
    </row>
    <row r="24" spans="1:39">
      <c r="A24" s="9" t="s">
        <v>55</v>
      </c>
      <c r="B24" s="9">
        <v>64</v>
      </c>
      <c r="C24" s="9">
        <v>20</v>
      </c>
      <c r="D24" s="9">
        <v>4</v>
      </c>
      <c r="E24" s="9">
        <v>2</v>
      </c>
      <c r="F24" s="15">
        <v>0.75</v>
      </c>
      <c r="G24" s="9">
        <v>15</v>
      </c>
      <c r="H24" s="9">
        <v>5</v>
      </c>
      <c r="I24" s="15">
        <v>0.1</v>
      </c>
      <c r="J24" s="9">
        <v>2</v>
      </c>
      <c r="K24" s="17">
        <v>1068.8</v>
      </c>
      <c r="L24" s="17">
        <v>493.9</v>
      </c>
      <c r="M24" s="17">
        <v>574.9</v>
      </c>
      <c r="N24" s="17">
        <v>0</v>
      </c>
      <c r="O24" s="9">
        <v>0</v>
      </c>
      <c r="P24" s="17">
        <v>11</v>
      </c>
      <c r="Q24" s="18">
        <f>IF(COUNT('GA Runs'!M96:M100)=0,"",MIN('GA Runs'!M96:M100))</f>
        <v>1068.82</v>
      </c>
      <c r="R24" s="18">
        <f>IF($Q24="","",INDEX('GA Runs'!E96:E100,MATCH($Q24,'GA Runs'!M96:M100,0)))</f>
        <v>493.92</v>
      </c>
      <c r="S24" s="18">
        <f>IF($Q24="","",INDEX('GA Runs'!F96:F100,MATCH($Q24,'GA Runs'!M96:M100,0)))</f>
        <v>574.9</v>
      </c>
      <c r="T24" s="18">
        <f>IF($Q24="","",INDEX('GA Runs'!G96:G100,MATCH($Q24,'GA Runs'!M96:M100,0)))</f>
        <v>0</v>
      </c>
      <c r="U24" s="18">
        <f>IF($Q24="","",INDEX('GA Runs'!H96:H100,MATCH($Q24,'GA Runs'!M96:M100,0)))</f>
        <v>0</v>
      </c>
      <c r="V24" s="18">
        <f>IF($Q24="","",INDEX('GA Runs'!I96:I100,MATCH($Q24,'GA Runs'!M96:M100,0)))</f>
        <v>16.21</v>
      </c>
      <c r="W24" s="18">
        <f t="shared" si="0"/>
        <v>1.8712574850282384E-3</v>
      </c>
      <c r="X24" s="18">
        <f>IF(COUNT('GA Runs'!M96:M100)=0,"",AVERAGE('GA Runs'!M96:M100))</f>
        <v>1115.5439999999999</v>
      </c>
      <c r="Y24" s="18">
        <f>IF(COUNT('GA Runs'!M96:M100)&lt;2,"",_xlfn.STDEV.S('GA Runs'!M96:M100))</f>
        <v>43.360482354328177</v>
      </c>
      <c r="Z24" s="22">
        <f>COUNT('GA Runs'!M96:M100)</f>
        <v>5</v>
      </c>
      <c r="AA24" s="18">
        <f>IF($Z24=0,"",AVERAGEIF('GA Runs'!M96:M100,"&gt;=0",'GA Runs'!I96:I100))</f>
        <v>15.774000000000001</v>
      </c>
      <c r="AB24" s="20">
        <v>1957.42</v>
      </c>
      <c r="AC24" s="20">
        <v>1390.85</v>
      </c>
      <c r="AD24" s="20">
        <v>566.57000000000005</v>
      </c>
      <c r="AE24" s="20">
        <v>0</v>
      </c>
      <c r="AF24" s="20">
        <v>0</v>
      </c>
      <c r="AG24" s="20">
        <v>0.35</v>
      </c>
      <c r="AH24" s="18">
        <f t="shared" si="1"/>
        <v>64.487903080849833</v>
      </c>
      <c r="AI24" s="18">
        <f t="shared" si="2"/>
        <v>100</v>
      </c>
      <c r="AJ24" s="18">
        <f t="shared" si="3"/>
        <v>100</v>
      </c>
      <c r="AK24" s="18">
        <f t="shared" si="4"/>
        <v>0</v>
      </c>
      <c r="AL24" s="10" t="str">
        <f t="shared" si="5"/>
        <v>OK</v>
      </c>
      <c r="AM24" s="11"/>
    </row>
    <row r="25" spans="1:39">
      <c r="A25" s="9" t="s">
        <v>56</v>
      </c>
      <c r="B25" s="9">
        <v>64</v>
      </c>
      <c r="C25" s="9">
        <v>20</v>
      </c>
      <c r="D25" s="9">
        <v>4</v>
      </c>
      <c r="E25" s="9">
        <v>2</v>
      </c>
      <c r="F25" s="15">
        <v>0.9</v>
      </c>
      <c r="G25" s="9">
        <v>18</v>
      </c>
      <c r="H25" s="9">
        <v>2</v>
      </c>
      <c r="I25" s="15">
        <v>0.1</v>
      </c>
      <c r="J25" s="9">
        <v>2</v>
      </c>
      <c r="K25" s="17">
        <v>1142.7</v>
      </c>
      <c r="L25" s="17">
        <v>600.6</v>
      </c>
      <c r="M25" s="17">
        <v>542.1</v>
      </c>
      <c r="N25" s="17">
        <v>0</v>
      </c>
      <c r="O25" s="9">
        <v>0</v>
      </c>
      <c r="P25" s="17">
        <v>10</v>
      </c>
      <c r="Q25" s="18">
        <f>IF(COUNT('GA Runs'!M101:M105)=0,"",MIN('GA Runs'!M101:M105))</f>
        <v>1142.7</v>
      </c>
      <c r="R25" s="18">
        <f>IF($Q25="","",INDEX('GA Runs'!E101:E105,MATCH($Q25,'GA Runs'!M101:M105,0)))</f>
        <v>600.57000000000005</v>
      </c>
      <c r="S25" s="18">
        <f>IF($Q25="","",INDEX('GA Runs'!F101:F105,MATCH($Q25,'GA Runs'!M101:M105,0)))</f>
        <v>542.14</v>
      </c>
      <c r="T25" s="18">
        <f>IF($Q25="","",INDEX('GA Runs'!G101:G105,MATCH($Q25,'GA Runs'!M101:M105,0)))</f>
        <v>0</v>
      </c>
      <c r="U25" s="18">
        <f>IF($Q25="","",INDEX('GA Runs'!H101:H105,MATCH($Q25,'GA Runs'!M101:M105,0)))</f>
        <v>0</v>
      </c>
      <c r="V25" s="18">
        <f>IF($Q25="","",INDEX('GA Runs'!I101:I105,MATCH($Q25,'GA Runs'!M101:M105,0)))</f>
        <v>14.9</v>
      </c>
      <c r="W25" s="18">
        <f t="shared" si="0"/>
        <v>0</v>
      </c>
      <c r="X25" s="18">
        <f>IF(COUNT('GA Runs'!M101:M105)=0,"",AVERAGE('GA Runs'!M101:M105))</f>
        <v>1183.904</v>
      </c>
      <c r="Y25" s="18">
        <f>IF(COUNT('GA Runs'!M101:M105)&lt;2,"",_xlfn.STDEV.S('GA Runs'!M101:M105))</f>
        <v>76.038161997775788</v>
      </c>
      <c r="Z25" s="22">
        <f>COUNT('GA Runs'!M101:M105)</f>
        <v>5</v>
      </c>
      <c r="AA25" s="18">
        <f>IF($Z25=0,"",AVERAGEIF('GA Runs'!M101:M105,"&gt;=0",'GA Runs'!I101:I105))</f>
        <v>15.244</v>
      </c>
      <c r="AB25" s="20">
        <v>5159.95</v>
      </c>
      <c r="AC25" s="20">
        <v>1641.77</v>
      </c>
      <c r="AD25" s="20">
        <v>518.16999999999996</v>
      </c>
      <c r="AE25" s="20">
        <v>3000</v>
      </c>
      <c r="AF25" s="20">
        <v>1</v>
      </c>
      <c r="AG25" s="20">
        <v>0.42</v>
      </c>
      <c r="AH25" s="18">
        <f t="shared" si="1"/>
        <v>63.419358375411896</v>
      </c>
      <c r="AI25" s="18">
        <f t="shared" si="2"/>
        <v>100</v>
      </c>
      <c r="AJ25" s="18">
        <f t="shared" si="3"/>
        <v>95</v>
      </c>
      <c r="AK25" s="18">
        <f t="shared" si="4"/>
        <v>5</v>
      </c>
      <c r="AL25" s="10" t="str">
        <f t="shared" si="5"/>
        <v>OK</v>
      </c>
      <c r="AM25" s="11"/>
    </row>
    <row r="26" spans="1:39">
      <c r="A26" s="9" t="s">
        <v>57</v>
      </c>
      <c r="B26" s="9">
        <v>73</v>
      </c>
      <c r="C26" s="9">
        <v>20</v>
      </c>
      <c r="D26" s="9">
        <v>4</v>
      </c>
      <c r="E26" s="9">
        <v>2</v>
      </c>
      <c r="F26" s="15">
        <v>0.1</v>
      </c>
      <c r="G26" s="9">
        <v>2</v>
      </c>
      <c r="H26" s="9">
        <v>18</v>
      </c>
      <c r="I26" s="15">
        <v>0.1</v>
      </c>
      <c r="J26" s="9">
        <v>2</v>
      </c>
      <c r="K26" s="17">
        <v>481.2</v>
      </c>
      <c r="L26" s="17">
        <v>23.5</v>
      </c>
      <c r="M26" s="17">
        <v>457.7</v>
      </c>
      <c r="N26" s="17">
        <v>0</v>
      </c>
      <c r="O26" s="9">
        <v>0</v>
      </c>
      <c r="P26" s="17">
        <v>1</v>
      </c>
      <c r="Q26" s="18">
        <f>IF(COUNT('GA Runs'!M106:M110)=0,"",MIN('GA Runs'!M106:M110))</f>
        <v>484.04</v>
      </c>
      <c r="R26" s="18">
        <f>IF($Q26="","",INDEX('GA Runs'!E106:E110,MATCH($Q26,'GA Runs'!M106:M110,0)))</f>
        <v>23.53</v>
      </c>
      <c r="S26" s="18">
        <f>IF($Q26="","",INDEX('GA Runs'!F106:F110,MATCH($Q26,'GA Runs'!M106:M110,0)))</f>
        <v>460.52</v>
      </c>
      <c r="T26" s="18">
        <f>IF($Q26="","",INDEX('GA Runs'!G106:G110,MATCH($Q26,'GA Runs'!M106:M110,0)))</f>
        <v>0</v>
      </c>
      <c r="U26" s="18">
        <f>IF($Q26="","",INDEX('GA Runs'!H106:H110,MATCH($Q26,'GA Runs'!M106:M110,0)))</f>
        <v>0</v>
      </c>
      <c r="V26" s="18">
        <f>IF($Q26="","",INDEX('GA Runs'!I106:I110,MATCH($Q26,'GA Runs'!M106:M110,0)))</f>
        <v>19.87</v>
      </c>
      <c r="W26" s="18">
        <f t="shared" si="0"/>
        <v>0.59019118869493592</v>
      </c>
      <c r="X26" s="18">
        <f>IF(COUNT('GA Runs'!M106:M110)=0,"",AVERAGE('GA Runs'!M106:M110))</f>
        <v>499.35399999999998</v>
      </c>
      <c r="Y26" s="18">
        <f>IF(COUNT('GA Runs'!M106:M110)&lt;2,"",_xlfn.STDEV.S('GA Runs'!M106:M110))</f>
        <v>9.6622709545944634</v>
      </c>
      <c r="Z26" s="22">
        <f>COUNT('GA Runs'!M106:M110)</f>
        <v>5</v>
      </c>
      <c r="AA26" s="18">
        <f>IF($Z26=0,"",AVERAGEIF('GA Runs'!M106:M110,"&gt;=0",'GA Runs'!I106:I110))</f>
        <v>21.478000000000002</v>
      </c>
      <c r="AB26" s="20">
        <v>589.17999999999995</v>
      </c>
      <c r="AC26" s="20">
        <v>143.54</v>
      </c>
      <c r="AD26" s="20">
        <v>445.64</v>
      </c>
      <c r="AE26" s="20">
        <v>0</v>
      </c>
      <c r="AF26" s="20">
        <v>0</v>
      </c>
      <c r="AG26" s="20">
        <v>1.03</v>
      </c>
      <c r="AH26" s="18">
        <f t="shared" si="1"/>
        <v>83.607356834331895</v>
      </c>
      <c r="AI26" s="18">
        <f t="shared" si="2"/>
        <v>100</v>
      </c>
      <c r="AJ26" s="18">
        <f t="shared" si="3"/>
        <v>100</v>
      </c>
      <c r="AK26" s="18">
        <f t="shared" si="4"/>
        <v>0</v>
      </c>
      <c r="AL26" s="10" t="str">
        <f t="shared" si="5"/>
        <v>OK</v>
      </c>
      <c r="AM26" s="11"/>
    </row>
    <row r="27" spans="1:39">
      <c r="A27" s="9" t="s">
        <v>58</v>
      </c>
      <c r="B27" s="9">
        <v>73</v>
      </c>
      <c r="C27" s="9">
        <v>20</v>
      </c>
      <c r="D27" s="9">
        <v>4</v>
      </c>
      <c r="E27" s="9">
        <v>2</v>
      </c>
      <c r="F27" s="15">
        <v>0.25</v>
      </c>
      <c r="G27" s="9">
        <v>5</v>
      </c>
      <c r="H27" s="9">
        <v>15</v>
      </c>
      <c r="I27" s="15">
        <v>0.1</v>
      </c>
      <c r="J27" s="9">
        <v>2</v>
      </c>
      <c r="K27" s="17">
        <v>503.2</v>
      </c>
      <c r="L27" s="17">
        <v>26.4</v>
      </c>
      <c r="M27" s="17">
        <v>476.8</v>
      </c>
      <c r="N27" s="17">
        <v>0</v>
      </c>
      <c r="O27" s="9">
        <v>0</v>
      </c>
      <c r="P27" s="17">
        <v>1</v>
      </c>
      <c r="Q27" s="18">
        <f>IF(COUNT('GA Runs'!M111:M115)=0,"",MIN('GA Runs'!M111:M115))</f>
        <v>503.19</v>
      </c>
      <c r="R27" s="18">
        <f>IF($Q27="","",INDEX('GA Runs'!E111:E115,MATCH($Q27,'GA Runs'!M111:M115,0)))</f>
        <v>26.36</v>
      </c>
      <c r="S27" s="18">
        <f>IF($Q27="","",INDEX('GA Runs'!F111:F115,MATCH($Q27,'GA Runs'!M111:M115,0)))</f>
        <v>476.83</v>
      </c>
      <c r="T27" s="18">
        <f>IF($Q27="","",INDEX('GA Runs'!G111:G115,MATCH($Q27,'GA Runs'!M111:M115,0)))</f>
        <v>0</v>
      </c>
      <c r="U27" s="18">
        <f>IF($Q27="","",INDEX('GA Runs'!H111:H115,MATCH($Q27,'GA Runs'!M111:M115,0)))</f>
        <v>0</v>
      </c>
      <c r="V27" s="18">
        <f>IF($Q27="","",INDEX('GA Runs'!I111:I115,MATCH($Q27,'GA Runs'!M111:M115,0)))</f>
        <v>20.95</v>
      </c>
      <c r="W27" s="18">
        <f t="shared" si="0"/>
        <v>-1.9872813990442976E-3</v>
      </c>
      <c r="X27" s="18">
        <f>IF(COUNT('GA Runs'!M111:M115)=0,"",AVERAGE('GA Runs'!M111:M115))</f>
        <v>525.52600000000007</v>
      </c>
      <c r="Y27" s="18">
        <f>IF(COUNT('GA Runs'!M111:M115)&lt;2,"",_xlfn.STDEV.S('GA Runs'!M111:M115))</f>
        <v>12.652370528877174</v>
      </c>
      <c r="Z27" s="22">
        <f>COUNT('GA Runs'!M111:M115)</f>
        <v>5</v>
      </c>
      <c r="AA27" s="18">
        <f>IF($Z27=0,"",AVERAGEIF('GA Runs'!M111:M115,"&gt;=0",'GA Runs'!I111:I115))</f>
        <v>21.164000000000005</v>
      </c>
      <c r="AB27" s="20">
        <v>958.14</v>
      </c>
      <c r="AC27" s="20">
        <v>508.93</v>
      </c>
      <c r="AD27" s="20">
        <v>449.21</v>
      </c>
      <c r="AE27" s="20">
        <v>0</v>
      </c>
      <c r="AF27" s="20">
        <v>0</v>
      </c>
      <c r="AG27" s="20">
        <v>1.03</v>
      </c>
      <c r="AH27" s="18">
        <f t="shared" si="1"/>
        <v>94.82050576700135</v>
      </c>
      <c r="AI27" s="18">
        <f t="shared" si="2"/>
        <v>100</v>
      </c>
      <c r="AJ27" s="18">
        <f t="shared" si="3"/>
        <v>100</v>
      </c>
      <c r="AK27" s="18">
        <f t="shared" si="4"/>
        <v>0</v>
      </c>
      <c r="AL27" s="10" t="str">
        <f t="shared" si="5"/>
        <v>OK</v>
      </c>
      <c r="AM27" s="11"/>
    </row>
    <row r="28" spans="1:39">
      <c r="A28" s="9" t="s">
        <v>59</v>
      </c>
      <c r="B28" s="9">
        <v>73</v>
      </c>
      <c r="C28" s="9">
        <v>20</v>
      </c>
      <c r="D28" s="9">
        <v>4</v>
      </c>
      <c r="E28" s="9">
        <v>2</v>
      </c>
      <c r="F28" s="15">
        <v>0.5</v>
      </c>
      <c r="G28" s="9">
        <v>10</v>
      </c>
      <c r="H28" s="9">
        <v>10</v>
      </c>
      <c r="I28" s="15">
        <v>0.1</v>
      </c>
      <c r="J28" s="9">
        <v>2</v>
      </c>
      <c r="K28" s="17">
        <v>807.3</v>
      </c>
      <c r="L28" s="17">
        <v>278.39999999999998</v>
      </c>
      <c r="M28" s="17">
        <v>528.9</v>
      </c>
      <c r="N28" s="17">
        <v>0</v>
      </c>
      <c r="O28" s="9">
        <v>0</v>
      </c>
      <c r="P28" s="17">
        <v>5</v>
      </c>
      <c r="Q28" s="18">
        <f>IF(COUNT('GA Runs'!M116:M120)=0,"",MIN('GA Runs'!M116:M120))</f>
        <v>807.3</v>
      </c>
      <c r="R28" s="18">
        <f>IF($Q28="","",INDEX('GA Runs'!E116:E120,MATCH($Q28,'GA Runs'!M116:M120,0)))</f>
        <v>278.42</v>
      </c>
      <c r="S28" s="18">
        <f>IF($Q28="","",INDEX('GA Runs'!F116:F120,MATCH($Q28,'GA Runs'!M116:M120,0)))</f>
        <v>528.88</v>
      </c>
      <c r="T28" s="18">
        <f>IF($Q28="","",INDEX('GA Runs'!G116:G120,MATCH($Q28,'GA Runs'!M116:M120,0)))</f>
        <v>0</v>
      </c>
      <c r="U28" s="18">
        <f>IF($Q28="","",INDEX('GA Runs'!H116:H120,MATCH($Q28,'GA Runs'!M116:M120,0)))</f>
        <v>0</v>
      </c>
      <c r="V28" s="18">
        <f>IF($Q28="","",INDEX('GA Runs'!I116:I120,MATCH($Q28,'GA Runs'!M116:M120,0)))</f>
        <v>16.010000000000002</v>
      </c>
      <c r="W28" s="18">
        <f t="shared" si="0"/>
        <v>0</v>
      </c>
      <c r="X28" s="18">
        <f>IF(COUNT('GA Runs'!M116:M120)=0,"",AVERAGE('GA Runs'!M116:M120))</f>
        <v>841.36199999999985</v>
      </c>
      <c r="Y28" s="18">
        <f>IF(COUNT('GA Runs'!M116:M120)&lt;2,"",_xlfn.STDEV.S('GA Runs'!M116:M120))</f>
        <v>37.930892686568839</v>
      </c>
      <c r="Z28" s="22">
        <f>COUNT('GA Runs'!M116:M120)</f>
        <v>5</v>
      </c>
      <c r="AA28" s="18">
        <f>IF($Z28=0,"",AVERAGEIF('GA Runs'!M116:M120,"&gt;=0",'GA Runs'!I116:I120))</f>
        <v>15.89</v>
      </c>
      <c r="AB28" s="20">
        <v>1527.86</v>
      </c>
      <c r="AC28" s="20">
        <v>975.84</v>
      </c>
      <c r="AD28" s="20">
        <v>552.02</v>
      </c>
      <c r="AE28" s="20">
        <v>0</v>
      </c>
      <c r="AF28" s="20">
        <v>0</v>
      </c>
      <c r="AG28" s="20">
        <v>0.5</v>
      </c>
      <c r="AH28" s="18">
        <f t="shared" si="1"/>
        <v>71.468683390719789</v>
      </c>
      <c r="AI28" s="18">
        <f t="shared" si="2"/>
        <v>100</v>
      </c>
      <c r="AJ28" s="18">
        <f t="shared" si="3"/>
        <v>100</v>
      </c>
      <c r="AK28" s="18">
        <f t="shared" si="4"/>
        <v>0</v>
      </c>
      <c r="AL28" s="10" t="str">
        <f t="shared" si="5"/>
        <v>OK</v>
      </c>
      <c r="AM28" s="11"/>
    </row>
    <row r="29" spans="1:39">
      <c r="A29" s="9" t="s">
        <v>60</v>
      </c>
      <c r="B29" s="9">
        <v>73</v>
      </c>
      <c r="C29" s="9">
        <v>20</v>
      </c>
      <c r="D29" s="9">
        <v>4</v>
      </c>
      <c r="E29" s="9">
        <v>2</v>
      </c>
      <c r="F29" s="15">
        <v>0.75</v>
      </c>
      <c r="G29" s="9">
        <v>15</v>
      </c>
      <c r="H29" s="9">
        <v>5</v>
      </c>
      <c r="I29" s="15">
        <v>0.1</v>
      </c>
      <c r="J29" s="9">
        <v>2</v>
      </c>
      <c r="K29" s="17">
        <v>936.4</v>
      </c>
      <c r="L29" s="17">
        <v>406</v>
      </c>
      <c r="M29" s="17">
        <v>530.4</v>
      </c>
      <c r="N29" s="17">
        <v>0</v>
      </c>
      <c r="O29" s="9">
        <v>0</v>
      </c>
      <c r="P29" s="17">
        <v>4</v>
      </c>
      <c r="Q29" s="18">
        <f>IF(COUNT('GA Runs'!M121:M125)=0,"",MIN('GA Runs'!M121:M125))</f>
        <v>936.39</v>
      </c>
      <c r="R29" s="18">
        <f>IF($Q29="","",INDEX('GA Runs'!E121:E125,MATCH($Q29,'GA Runs'!M121:M125,0)))</f>
        <v>406</v>
      </c>
      <c r="S29" s="18">
        <f>IF($Q29="","",INDEX('GA Runs'!F121:F125,MATCH($Q29,'GA Runs'!M121:M125,0)))</f>
        <v>530.39</v>
      </c>
      <c r="T29" s="18">
        <f>IF($Q29="","",INDEX('GA Runs'!G121:G125,MATCH($Q29,'GA Runs'!M121:M125,0)))</f>
        <v>0</v>
      </c>
      <c r="U29" s="18">
        <f>IF($Q29="","",INDEX('GA Runs'!H121:H125,MATCH($Q29,'GA Runs'!M121:M125,0)))</f>
        <v>0</v>
      </c>
      <c r="V29" s="18">
        <f>IF($Q29="","",INDEX('GA Runs'!I121:I125,MATCH($Q29,'GA Runs'!M121:M125,0)))</f>
        <v>15.92</v>
      </c>
      <c r="W29" s="18">
        <f t="shared" si="0"/>
        <v>-1.0679196924381572E-3</v>
      </c>
      <c r="X29" s="18">
        <f>IF(COUNT('GA Runs'!M121:M125)=0,"",AVERAGE('GA Runs'!M121:M125))</f>
        <v>990.10599999999999</v>
      </c>
      <c r="Y29" s="18">
        <f>IF(COUNT('GA Runs'!M121:M125)&lt;2,"",_xlfn.STDEV.S('GA Runs'!M121:M125))</f>
        <v>38.383234360850857</v>
      </c>
      <c r="Z29" s="22">
        <f>COUNT('GA Runs'!M121:M125)</f>
        <v>5</v>
      </c>
      <c r="AA29" s="18">
        <f>IF($Z29=0,"",AVERAGEIF('GA Runs'!M121:M125,"&gt;=0",'GA Runs'!I121:I125))</f>
        <v>15.912000000000001</v>
      </c>
      <c r="AB29" s="20">
        <v>1799.34</v>
      </c>
      <c r="AC29" s="20">
        <v>1240.48</v>
      </c>
      <c r="AD29" s="20">
        <v>558.87</v>
      </c>
      <c r="AE29" s="20">
        <v>0</v>
      </c>
      <c r="AF29" s="20">
        <v>0</v>
      </c>
      <c r="AG29" s="20">
        <v>0.79</v>
      </c>
      <c r="AH29" s="18">
        <f t="shared" si="1"/>
        <v>67.270733909454407</v>
      </c>
      <c r="AI29" s="18">
        <f t="shared" si="2"/>
        <v>100</v>
      </c>
      <c r="AJ29" s="18">
        <f t="shared" si="3"/>
        <v>100</v>
      </c>
      <c r="AK29" s="18">
        <f t="shared" si="4"/>
        <v>0</v>
      </c>
      <c r="AL29" s="10" t="str">
        <f t="shared" si="5"/>
        <v>OK</v>
      </c>
      <c r="AM29" s="11"/>
    </row>
    <row r="30" spans="1:39">
      <c r="A30" s="9" t="s">
        <v>61</v>
      </c>
      <c r="B30" s="9">
        <v>73</v>
      </c>
      <c r="C30" s="9">
        <v>20</v>
      </c>
      <c r="D30" s="9">
        <v>4</v>
      </c>
      <c r="E30" s="9">
        <v>2</v>
      </c>
      <c r="F30" s="15">
        <v>0.9</v>
      </c>
      <c r="G30" s="9">
        <v>18</v>
      </c>
      <c r="H30" s="9">
        <v>2</v>
      </c>
      <c r="I30" s="15">
        <v>0.1</v>
      </c>
      <c r="J30" s="9">
        <v>2</v>
      </c>
      <c r="K30" s="17">
        <v>1354.8</v>
      </c>
      <c r="L30" s="17">
        <v>891.4</v>
      </c>
      <c r="M30" s="17">
        <v>463.4</v>
      </c>
      <c r="N30" s="17">
        <v>0</v>
      </c>
      <c r="O30" s="9">
        <v>0</v>
      </c>
      <c r="P30" s="17">
        <v>2225</v>
      </c>
      <c r="Q30" s="18">
        <f>IF(COUNT('GA Runs'!M126:M130)=0,"",MIN('GA Runs'!M126:M130))</f>
        <v>1357.49</v>
      </c>
      <c r="R30" s="18">
        <f>IF($Q30="","",INDEX('GA Runs'!E126:E130,MATCH($Q30,'GA Runs'!M126:M130,0)))</f>
        <v>894.13</v>
      </c>
      <c r="S30" s="18">
        <f>IF($Q30="","",INDEX('GA Runs'!F126:F130,MATCH($Q30,'GA Runs'!M126:M130,0)))</f>
        <v>463.37</v>
      </c>
      <c r="T30" s="18">
        <f>IF($Q30="","",INDEX('GA Runs'!G126:G130,MATCH($Q30,'GA Runs'!M126:M130,0)))</f>
        <v>0</v>
      </c>
      <c r="U30" s="18">
        <f>IF($Q30="","",INDEX('GA Runs'!H126:H130,MATCH($Q30,'GA Runs'!M126:M130,0)))</f>
        <v>0</v>
      </c>
      <c r="V30" s="18">
        <f>IF($Q30="","",INDEX('GA Runs'!I126:I130,MATCH($Q30,'GA Runs'!M126:M130,0)))</f>
        <v>15.02</v>
      </c>
      <c r="W30" s="18">
        <f t="shared" si="0"/>
        <v>0.19855329199882304</v>
      </c>
      <c r="X30" s="18">
        <f>IF(COUNT('GA Runs'!M126:M130)=0,"",AVERAGE('GA Runs'!M126:M130))</f>
        <v>1381.1979999999999</v>
      </c>
      <c r="Y30" s="18">
        <f>IF(COUNT('GA Runs'!M126:M130)&lt;2,"",_xlfn.STDEV.S('GA Runs'!M126:M130))</f>
        <v>22.01724483217642</v>
      </c>
      <c r="Z30" s="22">
        <f>COUNT('GA Runs'!M126:M130)</f>
        <v>5</v>
      </c>
      <c r="AA30" s="18">
        <f>IF($Z30=0,"",AVERAGEIF('GA Runs'!M126:M130,"&gt;=0",'GA Runs'!I126:I130))</f>
        <v>15.129999999999999</v>
      </c>
      <c r="AB30" s="20">
        <v>2350.5700000000002</v>
      </c>
      <c r="AC30" s="20">
        <v>1870.89</v>
      </c>
      <c r="AD30" s="20">
        <v>479.68</v>
      </c>
      <c r="AE30" s="20">
        <v>0</v>
      </c>
      <c r="AF30" s="20">
        <v>0</v>
      </c>
      <c r="AG30" s="20">
        <v>0.89</v>
      </c>
      <c r="AH30" s="18">
        <f t="shared" si="1"/>
        <v>52.208307276216139</v>
      </c>
      <c r="AI30" s="18">
        <f t="shared" si="2"/>
        <v>100</v>
      </c>
      <c r="AJ30" s="18">
        <f t="shared" si="3"/>
        <v>100</v>
      </c>
      <c r="AK30" s="18">
        <f t="shared" si="4"/>
        <v>0</v>
      </c>
      <c r="AL30" s="10" t="str">
        <f t="shared" si="5"/>
        <v>OK</v>
      </c>
      <c r="AM30" s="11"/>
    </row>
    <row r="31" spans="1:39">
      <c r="A31" s="9" t="s">
        <v>62</v>
      </c>
      <c r="B31" s="9">
        <v>5</v>
      </c>
      <c r="C31" s="9">
        <v>40</v>
      </c>
      <c r="D31" s="9">
        <v>8</v>
      </c>
      <c r="E31" s="9">
        <v>4</v>
      </c>
      <c r="F31" s="15">
        <v>0.1</v>
      </c>
      <c r="G31" s="9">
        <v>4</v>
      </c>
      <c r="H31" s="9">
        <v>36</v>
      </c>
      <c r="I31" s="15">
        <v>0.1</v>
      </c>
      <c r="J31" s="9">
        <v>4</v>
      </c>
      <c r="K31" s="17">
        <v>14868.3</v>
      </c>
      <c r="L31" s="17">
        <v>0</v>
      </c>
      <c r="M31" s="17">
        <v>868.3</v>
      </c>
      <c r="N31" s="17">
        <v>14000</v>
      </c>
      <c r="O31" s="9" t="s">
        <v>63</v>
      </c>
      <c r="P31" s="17">
        <v>175</v>
      </c>
      <c r="Q31" s="18">
        <f>IF(COUNT('GA Runs'!M131:M135)=0,"",MIN('GA Runs'!M131:M135))</f>
        <v>15857.752</v>
      </c>
      <c r="R31" s="18">
        <f>IF($Q31="","",INDEX('GA Runs'!E131:E135,MATCH($Q31,'GA Runs'!M131:M135,0)))</f>
        <v>0</v>
      </c>
      <c r="S31" s="18">
        <f>IF($Q31="","",INDEX('GA Runs'!F131:F135,MATCH($Q31,'GA Runs'!M131:M135,0)))</f>
        <v>857.75199999999995</v>
      </c>
      <c r="T31" s="18">
        <f>IF($Q31="","",INDEX('GA Runs'!G131:G135,MATCH($Q31,'GA Runs'!M131:M135,0)))</f>
        <v>15000</v>
      </c>
      <c r="U31" s="18">
        <f>IF($Q31="","",INDEX('GA Runs'!H131:H135,MATCH($Q31,'GA Runs'!M131:M135,0)))</f>
        <v>15</v>
      </c>
      <c r="V31" s="18">
        <f>IF($Q31="","",INDEX('GA Runs'!I131:I135,MATCH($Q31,'GA Runs'!M131:M135,0)))</f>
        <v>38.415999999999997</v>
      </c>
      <c r="W31" s="18">
        <f t="shared" si="0"/>
        <v>6.6547755964030939</v>
      </c>
      <c r="X31" s="18">
        <f>IF(COUNT('GA Runs'!M131:M135)=0,"",AVERAGE('GA Runs'!M131:M135))</f>
        <v>17311.055</v>
      </c>
      <c r="Y31" s="18">
        <f>IF(COUNT('GA Runs'!M131:M135)&lt;2,"",_xlfn.STDEV.S('GA Runs'!M131:M135))</f>
        <v>1127.8179194606275</v>
      </c>
      <c r="Z31" s="22">
        <f>COUNT('GA Runs'!M131:M135)</f>
        <v>5</v>
      </c>
      <c r="AA31" s="18">
        <f>IF($Z31=0,"",AVERAGEIF('GA Runs'!M131:M135,"&gt;=0",'GA Runs'!I131:I135))</f>
        <v>39.059800000000003</v>
      </c>
      <c r="AB31" s="20">
        <v>15271.76</v>
      </c>
      <c r="AC31" s="20">
        <v>343.28</v>
      </c>
      <c r="AD31" s="20">
        <v>928.49</v>
      </c>
      <c r="AE31" s="20">
        <v>14000</v>
      </c>
      <c r="AF31" s="20">
        <v>4</v>
      </c>
      <c r="AG31" s="20">
        <v>281.31</v>
      </c>
      <c r="AH31" s="18">
        <f t="shared" si="1"/>
        <v>100.00000000000001</v>
      </c>
      <c r="AI31" s="18">
        <f t="shared" si="2"/>
        <v>62.5</v>
      </c>
      <c r="AJ31" s="18">
        <f t="shared" si="3"/>
        <v>90</v>
      </c>
      <c r="AK31" s="18">
        <f t="shared" si="4"/>
        <v>-27.5</v>
      </c>
      <c r="AL31" s="10" t="str">
        <f t="shared" si="5"/>
        <v>OK</v>
      </c>
      <c r="AM31" s="11"/>
    </row>
    <row r="32" spans="1:39">
      <c r="A32" s="9" t="s">
        <v>64</v>
      </c>
      <c r="B32" s="9">
        <v>5</v>
      </c>
      <c r="C32" s="9">
        <v>40</v>
      </c>
      <c r="D32" s="9">
        <v>8</v>
      </c>
      <c r="E32" s="9">
        <v>4</v>
      </c>
      <c r="F32" s="15">
        <v>0.25</v>
      </c>
      <c r="G32" s="9">
        <v>10</v>
      </c>
      <c r="H32" s="9">
        <v>30</v>
      </c>
      <c r="I32" s="15">
        <v>0.1</v>
      </c>
      <c r="J32" s="9">
        <v>4</v>
      </c>
      <c r="K32" s="17">
        <v>14978.6</v>
      </c>
      <c r="L32" s="17">
        <v>73.900000000000006</v>
      </c>
      <c r="M32" s="17">
        <v>904.7</v>
      </c>
      <c r="N32" s="17">
        <v>14000</v>
      </c>
      <c r="O32" s="9" t="s">
        <v>63</v>
      </c>
      <c r="P32" s="17">
        <v>47</v>
      </c>
      <c r="Q32" s="18">
        <f>IF(COUNT('GA Runs'!M136:M140)=0,"",MIN('GA Runs'!M136:M140))</f>
        <v>15004.813</v>
      </c>
      <c r="R32" s="18">
        <f>IF($Q32="","",INDEX('GA Runs'!E136:E140,MATCH($Q32,'GA Runs'!M136:M140,0)))</f>
        <v>52.82</v>
      </c>
      <c r="S32" s="18">
        <f>IF($Q32="","",INDEX('GA Runs'!F136:F140,MATCH($Q32,'GA Runs'!M136:M140,0)))</f>
        <v>951.99300000000005</v>
      </c>
      <c r="T32" s="18">
        <f>IF($Q32="","",INDEX('GA Runs'!G136:G140,MATCH($Q32,'GA Runs'!M136:M140,0)))</f>
        <v>14000</v>
      </c>
      <c r="U32" s="18">
        <f>IF($Q32="","",INDEX('GA Runs'!H136:H140,MATCH($Q32,'GA Runs'!M136:M140,0)))</f>
        <v>14</v>
      </c>
      <c r="V32" s="18">
        <f>IF($Q32="","",INDEX('GA Runs'!I136:I140,MATCH($Q32,'GA Runs'!M136:M140,0)))</f>
        <v>40.320999999999998</v>
      </c>
      <c r="W32" s="18">
        <f t="shared" si="0"/>
        <v>0.1750030042861131</v>
      </c>
      <c r="X32" s="18">
        <f>IF(COUNT('GA Runs'!M136:M140)=0,"",AVERAGE('GA Runs'!M136:M140))</f>
        <v>16578.2536</v>
      </c>
      <c r="Y32" s="18">
        <f>IF(COUNT('GA Runs'!M136:M140)&lt;2,"",_xlfn.STDEV.S('GA Runs'!M136:M140))</f>
        <v>1131.3442962926006</v>
      </c>
      <c r="Z32" s="22">
        <f>COUNT('GA Runs'!M136:M140)</f>
        <v>5</v>
      </c>
      <c r="AA32" s="18">
        <f>IF($Z32=0,"",AVERAGEIF('GA Runs'!M136:M140,"&gt;=0",'GA Runs'!I136:I140))</f>
        <v>41.341999999999999</v>
      </c>
      <c r="AB32" s="20">
        <v>17769.29</v>
      </c>
      <c r="AC32" s="20">
        <v>847.13</v>
      </c>
      <c r="AD32" s="20">
        <v>922.16</v>
      </c>
      <c r="AE32" s="20">
        <v>16000</v>
      </c>
      <c r="AF32" s="20">
        <v>5</v>
      </c>
      <c r="AG32" s="20">
        <v>150.62</v>
      </c>
      <c r="AH32" s="18">
        <f t="shared" si="1"/>
        <v>93.764829483078159</v>
      </c>
      <c r="AI32" s="18">
        <f t="shared" si="2"/>
        <v>65</v>
      </c>
      <c r="AJ32" s="18">
        <f t="shared" si="3"/>
        <v>87.5</v>
      </c>
      <c r="AK32" s="18">
        <f t="shared" si="4"/>
        <v>-22.5</v>
      </c>
      <c r="AL32" s="10" t="str">
        <f t="shared" si="5"/>
        <v>OK</v>
      </c>
      <c r="AM32" s="11"/>
    </row>
    <row r="33" spans="1:39">
      <c r="A33" s="9" t="s">
        <v>65</v>
      </c>
      <c r="B33" s="9">
        <v>5</v>
      </c>
      <c r="C33" s="9">
        <v>40</v>
      </c>
      <c r="D33" s="9">
        <v>8</v>
      </c>
      <c r="E33" s="9">
        <v>4</v>
      </c>
      <c r="F33" s="15">
        <v>0.5</v>
      </c>
      <c r="G33" s="9">
        <v>20</v>
      </c>
      <c r="H33" s="9">
        <v>20</v>
      </c>
      <c r="I33" s="15">
        <v>0.1</v>
      </c>
      <c r="J33" s="9">
        <v>4</v>
      </c>
      <c r="K33" s="17">
        <v>15462.9</v>
      </c>
      <c r="L33" s="17">
        <v>554.70000000000005</v>
      </c>
      <c r="M33" s="17">
        <v>908.2</v>
      </c>
      <c r="N33" s="17">
        <v>14000</v>
      </c>
      <c r="O33" s="9" t="s">
        <v>66</v>
      </c>
      <c r="P33" s="17">
        <v>163</v>
      </c>
      <c r="Q33" s="18">
        <f>IF(COUNT('GA Runs'!M141:M145)=0,"",MIN('GA Runs'!M141:M145))</f>
        <v>15842.53</v>
      </c>
      <c r="R33" s="18">
        <f>IF($Q33="","",INDEX('GA Runs'!E141:E145,MATCH($Q33,'GA Runs'!M141:M145,0)))</f>
        <v>909.81</v>
      </c>
      <c r="S33" s="18">
        <f>IF($Q33="","",INDEX('GA Runs'!F141:F145,MATCH($Q33,'GA Runs'!M141:M145,0)))</f>
        <v>932.71900000000005</v>
      </c>
      <c r="T33" s="18">
        <f>IF($Q33="","",INDEX('GA Runs'!G141:G145,MATCH($Q33,'GA Runs'!M141:M145,0)))</f>
        <v>14000</v>
      </c>
      <c r="U33" s="18">
        <f>IF($Q33="","",INDEX('GA Runs'!H141:H145,MATCH($Q33,'GA Runs'!M141:M145,0)))</f>
        <v>14</v>
      </c>
      <c r="V33" s="18">
        <f>IF($Q33="","",INDEX('GA Runs'!I141:I145,MATCH($Q33,'GA Runs'!M141:M145,0)))</f>
        <v>40.445999999999998</v>
      </c>
      <c r="W33" s="18">
        <f t="shared" si="0"/>
        <v>2.4551022123922488</v>
      </c>
      <c r="X33" s="18">
        <f>IF(COUNT('GA Runs'!M141:M145)=0,"",AVERAGE('GA Runs'!M141:M145))</f>
        <v>17742.8848</v>
      </c>
      <c r="Y33" s="18">
        <f>IF(COUNT('GA Runs'!M141:M145)&lt;2,"",_xlfn.STDEV.S('GA Runs'!M141:M145))</f>
        <v>1285.8515307984435</v>
      </c>
      <c r="Z33" s="22">
        <f>COUNT('GA Runs'!M141:M145)</f>
        <v>5</v>
      </c>
      <c r="AA33" s="18">
        <f>IF($Z33=0,"",AVERAGEIF('GA Runs'!M141:M145,"&gt;=0",'GA Runs'!I141:I145))</f>
        <v>38.984999999999999</v>
      </c>
      <c r="AB33" s="20">
        <v>20394.86</v>
      </c>
      <c r="AC33" s="20">
        <v>1394.05</v>
      </c>
      <c r="AD33" s="20">
        <v>1000.8</v>
      </c>
      <c r="AE33" s="20">
        <v>18000</v>
      </c>
      <c r="AF33" s="20">
        <v>5</v>
      </c>
      <c r="AG33" s="20">
        <v>52.32</v>
      </c>
      <c r="AH33" s="18">
        <f t="shared" si="1"/>
        <v>34.736200279760411</v>
      </c>
      <c r="AI33" s="18">
        <f t="shared" si="2"/>
        <v>65</v>
      </c>
      <c r="AJ33" s="18">
        <f t="shared" si="3"/>
        <v>87.5</v>
      </c>
      <c r="AK33" s="18">
        <f t="shared" si="4"/>
        <v>-22.5</v>
      </c>
      <c r="AL33" s="10" t="str">
        <f t="shared" si="5"/>
        <v>OK</v>
      </c>
      <c r="AM33" s="11"/>
    </row>
    <row r="34" spans="1:39">
      <c r="A34" s="9" t="s">
        <v>67</v>
      </c>
      <c r="B34" s="9">
        <v>5</v>
      </c>
      <c r="C34" s="9">
        <v>40</v>
      </c>
      <c r="D34" s="9">
        <v>8</v>
      </c>
      <c r="E34" s="9">
        <v>4</v>
      </c>
      <c r="F34" s="15">
        <v>0.75</v>
      </c>
      <c r="G34" s="9">
        <v>30</v>
      </c>
      <c r="H34" s="9">
        <v>10</v>
      </c>
      <c r="I34" s="15">
        <v>0.1</v>
      </c>
      <c r="J34" s="9">
        <v>4</v>
      </c>
      <c r="K34" s="17">
        <v>15984.8</v>
      </c>
      <c r="L34" s="17">
        <v>1094</v>
      </c>
      <c r="M34" s="17">
        <v>890.8</v>
      </c>
      <c r="N34" s="17">
        <v>14000</v>
      </c>
      <c r="O34" s="9" t="s">
        <v>66</v>
      </c>
      <c r="P34" s="17">
        <v>544</v>
      </c>
      <c r="Q34" s="18">
        <f>IF(COUNT('GA Runs'!M146:M150)=0,"",MIN('GA Runs'!M146:M150))</f>
        <v>16187.873</v>
      </c>
      <c r="R34" s="18">
        <f>IF($Q34="","",INDEX('GA Runs'!E146:E150,MATCH($Q34,'GA Runs'!M146:M150,0)))</f>
        <v>1243.0899999999999</v>
      </c>
      <c r="S34" s="18">
        <f>IF($Q34="","",INDEX('GA Runs'!F146:F150,MATCH($Q34,'GA Runs'!M146:M150,0)))</f>
        <v>944.78300000000002</v>
      </c>
      <c r="T34" s="18">
        <f>IF($Q34="","",INDEX('GA Runs'!G146:G150,MATCH($Q34,'GA Runs'!M146:M150,0)))</f>
        <v>14000</v>
      </c>
      <c r="U34" s="18">
        <f>IF($Q34="","",INDEX('GA Runs'!H146:H150,MATCH($Q34,'GA Runs'!M146:M150,0)))</f>
        <v>14</v>
      </c>
      <c r="V34" s="18">
        <f>IF($Q34="","",INDEX('GA Runs'!I146:I150,MATCH($Q34,'GA Runs'!M146:M150,0)))</f>
        <v>42.499000000000002</v>
      </c>
      <c r="W34" s="18">
        <f t="shared" si="0"/>
        <v>1.2704131424853631</v>
      </c>
      <c r="X34" s="18">
        <f>IF(COUNT('GA Runs'!M146:M150)=0,"",AVERAGE('GA Runs'!M146:M150))</f>
        <v>17560.996999999999</v>
      </c>
      <c r="Y34" s="18">
        <f>IF(COUNT('GA Runs'!M146:M150)&lt;2,"",_xlfn.STDEV.S('GA Runs'!M146:M150))</f>
        <v>1252.2979518718778</v>
      </c>
      <c r="Z34" s="22">
        <f>COUNT('GA Runs'!M146:M150)</f>
        <v>5</v>
      </c>
      <c r="AA34" s="18">
        <f>IF($Z34=0,"",AVERAGEIF('GA Runs'!M146:M150,"&gt;=0",'GA Runs'!I146:I150))</f>
        <v>39.715400000000002</v>
      </c>
      <c r="AB34" s="20">
        <v>25885.03</v>
      </c>
      <c r="AC34" s="20">
        <v>1949.47</v>
      </c>
      <c r="AD34" s="20">
        <v>935.56</v>
      </c>
      <c r="AE34" s="20">
        <v>23000</v>
      </c>
      <c r="AF34" s="20">
        <v>6</v>
      </c>
      <c r="AG34" s="20">
        <v>2.2999999999999998</v>
      </c>
      <c r="AH34" s="18">
        <f t="shared" si="1"/>
        <v>36.234463726038364</v>
      </c>
      <c r="AI34" s="18">
        <f t="shared" si="2"/>
        <v>65</v>
      </c>
      <c r="AJ34" s="18">
        <f t="shared" si="3"/>
        <v>85</v>
      </c>
      <c r="AK34" s="18">
        <f t="shared" si="4"/>
        <v>-20</v>
      </c>
      <c r="AL34" s="10" t="str">
        <f t="shared" si="5"/>
        <v>OK</v>
      </c>
      <c r="AM34" s="11"/>
    </row>
    <row r="35" spans="1:39">
      <c r="A35" s="9" t="s">
        <v>68</v>
      </c>
      <c r="B35" s="9">
        <v>5</v>
      </c>
      <c r="C35" s="9">
        <v>40</v>
      </c>
      <c r="D35" s="9">
        <v>8</v>
      </c>
      <c r="E35" s="9">
        <v>4</v>
      </c>
      <c r="F35" s="15">
        <v>0.9</v>
      </c>
      <c r="G35" s="9">
        <v>36</v>
      </c>
      <c r="H35" s="9">
        <v>4</v>
      </c>
      <c r="I35" s="15">
        <v>0.1</v>
      </c>
      <c r="J35" s="9">
        <v>4</v>
      </c>
      <c r="K35" s="17" t="s">
        <v>69</v>
      </c>
      <c r="L35" s="17" t="s">
        <v>69</v>
      </c>
      <c r="M35" s="17" t="s">
        <v>69</v>
      </c>
      <c r="N35" s="17" t="s">
        <v>69</v>
      </c>
      <c r="O35" s="9" t="s">
        <v>69</v>
      </c>
      <c r="P35" s="17">
        <v>21600</v>
      </c>
      <c r="Q35" s="18">
        <f>IF(COUNT('GA Runs'!M151:M155)=0,"",MIN('GA Runs'!M151:M155))</f>
        <v>15092.933000000001</v>
      </c>
      <c r="R35" s="18">
        <f>IF($Q35="","",INDEX('GA Runs'!E151:E155,MATCH($Q35,'GA Runs'!M151:M155,0)))</f>
        <v>1155.1420000000001</v>
      </c>
      <c r="S35" s="18">
        <f>IF($Q35="","",INDEX('GA Runs'!F151:F155,MATCH($Q35,'GA Runs'!M151:M155,0)))</f>
        <v>937.79100000000005</v>
      </c>
      <c r="T35" s="18">
        <f>IF($Q35="","",INDEX('GA Runs'!G151:G155,MATCH($Q35,'GA Runs'!M151:M155,0)))</f>
        <v>13000</v>
      </c>
      <c r="U35" s="18">
        <f>IF($Q35="","",INDEX('GA Runs'!H151:H155,MATCH($Q35,'GA Runs'!M151:M155,0)))</f>
        <v>13</v>
      </c>
      <c r="V35" s="18">
        <f>IF($Q35="","",INDEX('GA Runs'!I151:I155,MATCH($Q35,'GA Runs'!M151:M155,0)))</f>
        <v>40.99</v>
      </c>
      <c r="W35" s="18" t="str">
        <f t="shared" si="0"/>
        <v/>
      </c>
      <c r="X35" s="18">
        <f>IF(COUNT('GA Runs'!M151:M155)=0,"",AVERAGE('GA Runs'!M151:M155))</f>
        <v>15152.180800000002</v>
      </c>
      <c r="Y35" s="18">
        <f>IF(COUNT('GA Runs'!M151:M155)&lt;2,"",_xlfn.STDEV.S('GA Runs'!M151:M155))</f>
        <v>53.868773289355488</v>
      </c>
      <c r="Z35" s="22">
        <f>COUNT('GA Runs'!M151:M155)</f>
        <v>5</v>
      </c>
      <c r="AA35" s="18">
        <f>IF($Z35=0,"",AVERAGEIF('GA Runs'!M151:M155,"&gt;=0",'GA Runs'!I151:I155))</f>
        <v>39.212200000000003</v>
      </c>
      <c r="AB35" s="20">
        <v>20618.97</v>
      </c>
      <c r="AC35" s="20">
        <v>2701.89</v>
      </c>
      <c r="AD35" s="20">
        <v>917.08</v>
      </c>
      <c r="AE35" s="20">
        <v>17000</v>
      </c>
      <c r="AF35" s="20">
        <v>5</v>
      </c>
      <c r="AG35" s="20">
        <v>4.74</v>
      </c>
      <c r="AH35" s="18">
        <f t="shared" si="1"/>
        <v>57.246890139865059</v>
      </c>
      <c r="AI35" s="18">
        <f t="shared" si="2"/>
        <v>67.5</v>
      </c>
      <c r="AJ35" s="18">
        <f t="shared" si="3"/>
        <v>87.5</v>
      </c>
      <c r="AK35" s="18">
        <f t="shared" si="4"/>
        <v>-20</v>
      </c>
      <c r="AL35" s="10" t="str">
        <f t="shared" si="5"/>
        <v>OK</v>
      </c>
      <c r="AM35" s="11"/>
    </row>
    <row r="36" spans="1:39">
      <c r="A36" s="9" t="s">
        <v>70</v>
      </c>
      <c r="B36" s="9">
        <v>73</v>
      </c>
      <c r="C36" s="9">
        <v>40</v>
      </c>
      <c r="D36" s="9">
        <v>8</v>
      </c>
      <c r="E36" s="9">
        <v>4</v>
      </c>
      <c r="F36" s="15">
        <v>0.1</v>
      </c>
      <c r="G36" s="9">
        <v>4</v>
      </c>
      <c r="H36" s="9">
        <v>36</v>
      </c>
      <c r="I36" s="15">
        <v>0.1</v>
      </c>
      <c r="J36" s="9">
        <v>4</v>
      </c>
      <c r="K36" s="17">
        <v>4163.1000000000004</v>
      </c>
      <c r="L36" s="17">
        <v>349.4</v>
      </c>
      <c r="M36" s="17">
        <v>813.7</v>
      </c>
      <c r="N36" s="17">
        <v>3000</v>
      </c>
      <c r="O36" s="9" t="s">
        <v>71</v>
      </c>
      <c r="P36" s="17">
        <v>23</v>
      </c>
      <c r="Q36" s="18">
        <f>IF(COUNT('GA Runs'!M156:M160)=0,"",MIN('GA Runs'!M156:M160))</f>
        <v>4170.2309999999998</v>
      </c>
      <c r="R36" s="18">
        <f>IF($Q36="","",INDEX('GA Runs'!E156:E160,MATCH($Q36,'GA Runs'!M156:M160,0)))</f>
        <v>349.43599999999998</v>
      </c>
      <c r="S36" s="18">
        <f>IF($Q36="","",INDEX('GA Runs'!F156:F160,MATCH($Q36,'GA Runs'!M156:M160,0)))</f>
        <v>820.79499999999996</v>
      </c>
      <c r="T36" s="18">
        <f>IF($Q36="","",INDEX('GA Runs'!G156:G160,MATCH($Q36,'GA Runs'!M156:M160,0)))</f>
        <v>3000</v>
      </c>
      <c r="U36" s="18">
        <f>IF($Q36="","",INDEX('GA Runs'!H156:H160,MATCH($Q36,'GA Runs'!M156:M160,0)))</f>
        <v>3</v>
      </c>
      <c r="V36" s="18">
        <f>IF($Q36="","",INDEX('GA Runs'!I156:I160,MATCH($Q36,'GA Runs'!M156:M160,0)))</f>
        <v>43.442999999999998</v>
      </c>
      <c r="W36" s="18">
        <f t="shared" si="0"/>
        <v>0.1712906247747929</v>
      </c>
      <c r="X36" s="18">
        <f>IF(COUNT('GA Runs'!M156:M160)=0,"",AVERAGE('GA Runs'!M156:M160))</f>
        <v>6981.1318000000001</v>
      </c>
      <c r="Y36" s="18">
        <f>IF(COUNT('GA Runs'!M156:M160)&lt;2,"",_xlfn.STDEV.S('GA Runs'!M156:M160))</f>
        <v>1608.7276181863997</v>
      </c>
      <c r="Z36" s="22">
        <f>COUNT('GA Runs'!M156:M160)</f>
        <v>5</v>
      </c>
      <c r="AA36" s="18">
        <f>IF($Z36=0,"",AVERAGEIF('GA Runs'!M156:M160,"&gt;=0",'GA Runs'!I156:I160))</f>
        <v>41.061399999999992</v>
      </c>
      <c r="AB36" s="20">
        <v>4324.3500000000004</v>
      </c>
      <c r="AC36" s="20">
        <v>510.54</v>
      </c>
      <c r="AD36" s="20">
        <v>813.8</v>
      </c>
      <c r="AE36" s="20">
        <v>3000</v>
      </c>
      <c r="AF36" s="20">
        <v>1</v>
      </c>
      <c r="AG36" s="20">
        <v>11.16</v>
      </c>
      <c r="AH36" s="18">
        <f t="shared" si="1"/>
        <v>31.5556077878325</v>
      </c>
      <c r="AI36" s="18">
        <f t="shared" si="2"/>
        <v>92.5</v>
      </c>
      <c r="AJ36" s="18">
        <f t="shared" si="3"/>
        <v>97.5</v>
      </c>
      <c r="AK36" s="18">
        <f t="shared" si="4"/>
        <v>-5</v>
      </c>
      <c r="AL36" s="10" t="str">
        <f t="shared" si="5"/>
        <v>OK</v>
      </c>
      <c r="AM36" s="11"/>
    </row>
    <row r="37" spans="1:39">
      <c r="A37" s="9" t="s">
        <v>72</v>
      </c>
      <c r="B37" s="9">
        <v>73</v>
      </c>
      <c r="C37" s="9">
        <v>40</v>
      </c>
      <c r="D37" s="9">
        <v>8</v>
      </c>
      <c r="E37" s="9">
        <v>4</v>
      </c>
      <c r="F37" s="15">
        <v>0.25</v>
      </c>
      <c r="G37" s="9">
        <v>10</v>
      </c>
      <c r="H37" s="9">
        <v>30</v>
      </c>
      <c r="I37" s="15">
        <v>0.1</v>
      </c>
      <c r="J37" s="9">
        <v>4</v>
      </c>
      <c r="K37" s="17">
        <v>4398.8</v>
      </c>
      <c r="L37" s="17">
        <v>583.9</v>
      </c>
      <c r="M37" s="17">
        <v>815</v>
      </c>
      <c r="N37" s="17">
        <v>3000</v>
      </c>
      <c r="O37" s="9" t="s">
        <v>71</v>
      </c>
      <c r="P37" s="17">
        <v>34</v>
      </c>
      <c r="Q37" s="18">
        <f>IF(COUNT('GA Runs'!M161:M165)=0,"",MIN('GA Runs'!M161:M165))</f>
        <v>4488.2280000000001</v>
      </c>
      <c r="R37" s="18">
        <f>IF($Q37="","",INDEX('GA Runs'!E161:E165,MATCH($Q37,'GA Runs'!M161:M165,0)))</f>
        <v>691.20399999999995</v>
      </c>
      <c r="S37" s="18">
        <f>IF($Q37="","",INDEX('GA Runs'!F161:F165,MATCH($Q37,'GA Runs'!M161:M165,0)))</f>
        <v>797.024</v>
      </c>
      <c r="T37" s="18">
        <f>IF($Q37="","",INDEX('GA Runs'!G161:G165,MATCH($Q37,'GA Runs'!M161:M165,0)))</f>
        <v>3000</v>
      </c>
      <c r="U37" s="18">
        <f>IF($Q37="","",INDEX('GA Runs'!H161:H165,MATCH($Q37,'GA Runs'!M161:M165,0)))</f>
        <v>3</v>
      </c>
      <c r="V37" s="18">
        <f>IF($Q37="","",INDEX('GA Runs'!I161:I165,MATCH($Q37,'GA Runs'!M161:M165,0)))</f>
        <v>44.216000000000001</v>
      </c>
      <c r="W37" s="18">
        <f t="shared" si="0"/>
        <v>2.0330090024552123</v>
      </c>
      <c r="X37" s="18">
        <f>IF(COUNT('GA Runs'!M161:M165)=0,"",AVERAGE('GA Runs'!M161:M165))</f>
        <v>4555.9040000000005</v>
      </c>
      <c r="Y37" s="18">
        <f>IF(COUNT('GA Runs'!M161:M165)&lt;2,"",_xlfn.STDEV.S('GA Runs'!M161:M165))</f>
        <v>63.651172373334973</v>
      </c>
      <c r="Z37" s="22">
        <f>COUNT('GA Runs'!M161:M165)</f>
        <v>5</v>
      </c>
      <c r="AA37" s="18">
        <f>IF($Z37=0,"",AVERAGEIF('GA Runs'!M161:M165,"&gt;=0",'GA Runs'!I161:I165))</f>
        <v>43.133800000000001</v>
      </c>
      <c r="AB37" s="20">
        <v>5020.24</v>
      </c>
      <c r="AC37" s="20">
        <v>1209.82</v>
      </c>
      <c r="AD37" s="20">
        <v>810.42</v>
      </c>
      <c r="AE37" s="20">
        <v>3000</v>
      </c>
      <c r="AF37" s="20">
        <v>1</v>
      </c>
      <c r="AG37" s="20">
        <v>13.98</v>
      </c>
      <c r="AH37" s="18">
        <f t="shared" si="1"/>
        <v>42.867203385627612</v>
      </c>
      <c r="AI37" s="18">
        <f t="shared" si="2"/>
        <v>92.5</v>
      </c>
      <c r="AJ37" s="18">
        <f t="shared" si="3"/>
        <v>97.5</v>
      </c>
      <c r="AK37" s="18">
        <f t="shared" si="4"/>
        <v>-5</v>
      </c>
      <c r="AL37" s="10" t="str">
        <f t="shared" si="5"/>
        <v>OK</v>
      </c>
      <c r="AM37" s="11"/>
    </row>
    <row r="38" spans="1:39">
      <c r="A38" s="9" t="s">
        <v>73</v>
      </c>
      <c r="B38" s="9">
        <v>73</v>
      </c>
      <c r="C38" s="9">
        <v>40</v>
      </c>
      <c r="D38" s="9">
        <v>8</v>
      </c>
      <c r="E38" s="9">
        <v>4</v>
      </c>
      <c r="F38" s="15">
        <v>0.5</v>
      </c>
      <c r="G38" s="9">
        <v>20</v>
      </c>
      <c r="H38" s="9">
        <v>20</v>
      </c>
      <c r="I38" s="15">
        <v>0.1</v>
      </c>
      <c r="J38" s="9">
        <v>4</v>
      </c>
      <c r="K38" s="17">
        <v>4357.2</v>
      </c>
      <c r="L38" s="17">
        <v>453.2</v>
      </c>
      <c r="M38" s="17">
        <v>904</v>
      </c>
      <c r="N38" s="17">
        <v>3000</v>
      </c>
      <c r="O38" s="9" t="s">
        <v>74</v>
      </c>
      <c r="P38" s="17">
        <v>21</v>
      </c>
      <c r="Q38" s="18">
        <f>IF(COUNT('GA Runs'!M166:M170)=0,"",MIN('GA Runs'!M166:M170))</f>
        <v>4364.67</v>
      </c>
      <c r="R38" s="18">
        <f>IF($Q38="","",INDEX('GA Runs'!E166:E170,MATCH($Q38,'GA Runs'!M166:M170,0)))</f>
        <v>458.35899999999998</v>
      </c>
      <c r="S38" s="18">
        <f>IF($Q38="","",INDEX('GA Runs'!F166:F170,MATCH($Q38,'GA Runs'!M166:M170,0)))</f>
        <v>906.31</v>
      </c>
      <c r="T38" s="18">
        <f>IF($Q38="","",INDEX('GA Runs'!G166:G170,MATCH($Q38,'GA Runs'!M166:M170,0)))</f>
        <v>3000</v>
      </c>
      <c r="U38" s="18">
        <f>IF($Q38="","",INDEX('GA Runs'!H166:H170,MATCH($Q38,'GA Runs'!M166:M170,0)))</f>
        <v>3</v>
      </c>
      <c r="V38" s="18">
        <f>IF($Q38="","",INDEX('GA Runs'!I166:I170,MATCH($Q38,'GA Runs'!M166:M170,0)))</f>
        <v>46.976999999999997</v>
      </c>
      <c r="W38" s="18">
        <f t="shared" ref="W38:W69" si="6">IF(OR($K38="",$Q38="",NOT(ISNUMBER($K38))),"",100*($Q38-$K38)/$K38)</f>
        <v>0.17144037455247074</v>
      </c>
      <c r="X38" s="18">
        <f>IF(COUNT('GA Runs'!M166:M170)=0,"",AVERAGE('GA Runs'!M166:M170))</f>
        <v>4408.3748000000005</v>
      </c>
      <c r="Y38" s="18">
        <f>IF(COUNT('GA Runs'!M166:M170)&lt;2,"",_xlfn.STDEV.S('GA Runs'!M166:M170))</f>
        <v>33.029957730823888</v>
      </c>
      <c r="Z38" s="22">
        <f>COUNT('GA Runs'!M166:M170)</f>
        <v>5</v>
      </c>
      <c r="AA38" s="18">
        <f>IF($Z38=0,"",AVERAGEIF('GA Runs'!M166:M170,"&gt;=0",'GA Runs'!I166:I170))</f>
        <v>43.470399999999998</v>
      </c>
      <c r="AB38" s="20">
        <v>6470.7</v>
      </c>
      <c r="AC38" s="20">
        <v>1505.09</v>
      </c>
      <c r="AD38" s="20">
        <v>965.62</v>
      </c>
      <c r="AE38" s="20">
        <v>4000</v>
      </c>
      <c r="AF38" s="20">
        <v>1</v>
      </c>
      <c r="AG38" s="20">
        <v>3.17</v>
      </c>
      <c r="AH38" s="18">
        <f t="shared" ref="AH38:AH69" si="7">IF(OR($AC38="",$R38="",$AC38=0),"",100*($AC38-$R38)/$AC38)</f>
        <v>69.546073656724857</v>
      </c>
      <c r="AI38" s="18">
        <f t="shared" ref="AI38:AI69" si="8">IF($U38="","",100*($C38-$U38)/$C38)</f>
        <v>92.5</v>
      </c>
      <c r="AJ38" s="18">
        <f t="shared" ref="AJ38:AJ69" si="9">IF($AF38="","",100*($C38-$AF38)/$C38)</f>
        <v>97.5</v>
      </c>
      <c r="AK38" s="18">
        <f t="shared" ref="AK38:AK69" si="10">IF(OR($AI38="",$AJ38=""),"",$AI38-$AJ38)</f>
        <v>-5</v>
      </c>
      <c r="AL38" s="10" t="str">
        <f t="shared" ref="AL38:AL69" si="11">IF($Q38="","",IF(ABS($Q38-SUM($R38:$T38))&lt;0.05,"OK","CHECK"))</f>
        <v>OK</v>
      </c>
      <c r="AM38" s="11"/>
    </row>
    <row r="39" spans="1:39">
      <c r="A39" s="9" t="s">
        <v>75</v>
      </c>
      <c r="B39" s="9">
        <v>73</v>
      </c>
      <c r="C39" s="9">
        <v>40</v>
      </c>
      <c r="D39" s="9">
        <v>8</v>
      </c>
      <c r="E39" s="9">
        <v>4</v>
      </c>
      <c r="F39" s="15">
        <v>0.75</v>
      </c>
      <c r="G39" s="9">
        <v>30</v>
      </c>
      <c r="H39" s="9">
        <v>10</v>
      </c>
      <c r="I39" s="15">
        <v>0.1</v>
      </c>
      <c r="J39" s="9">
        <v>4</v>
      </c>
      <c r="K39" s="17">
        <v>5028</v>
      </c>
      <c r="L39" s="17">
        <v>1083.5</v>
      </c>
      <c r="M39" s="17">
        <v>944.5</v>
      </c>
      <c r="N39" s="17">
        <v>3000</v>
      </c>
      <c r="O39" s="9" t="s">
        <v>74</v>
      </c>
      <c r="P39" s="17">
        <v>1295</v>
      </c>
      <c r="Q39" s="18">
        <f>IF(COUNT('GA Runs'!M171:M175)=0,"",MIN('GA Runs'!M171:M175))</f>
        <v>5054.6419999999998</v>
      </c>
      <c r="R39" s="18">
        <f>IF($Q39="","",INDEX('GA Runs'!E171:E175,MATCH($Q39,'GA Runs'!M171:M175,0)))</f>
        <v>1118.519</v>
      </c>
      <c r="S39" s="18">
        <f>IF($Q39="","",INDEX('GA Runs'!F171:F175,MATCH($Q39,'GA Runs'!M171:M175,0)))</f>
        <v>936.12300000000005</v>
      </c>
      <c r="T39" s="18">
        <f>IF($Q39="","",INDEX('GA Runs'!G171:G175,MATCH($Q39,'GA Runs'!M171:M175,0)))</f>
        <v>3000</v>
      </c>
      <c r="U39" s="18">
        <f>IF($Q39="","",INDEX('GA Runs'!H171:H175,MATCH($Q39,'GA Runs'!M171:M175,0)))</f>
        <v>3</v>
      </c>
      <c r="V39" s="18">
        <f>IF($Q39="","",INDEX('GA Runs'!I171:I175,MATCH($Q39,'GA Runs'!M171:M175,0)))</f>
        <v>45.710999999999999</v>
      </c>
      <c r="W39" s="18">
        <f t="shared" si="6"/>
        <v>0.5298727128082702</v>
      </c>
      <c r="X39" s="18">
        <f>IF(COUNT('GA Runs'!M171:M175)=0,"",AVERAGE('GA Runs'!M171:M175))</f>
        <v>5111.7640000000001</v>
      </c>
      <c r="Y39" s="18">
        <f>IF(COUNT('GA Runs'!M171:M175)&lt;2,"",_xlfn.STDEV.S('GA Runs'!M171:M175))</f>
        <v>44.678037177118853</v>
      </c>
      <c r="Z39" s="22">
        <f>COUNT('GA Runs'!M171:M175)</f>
        <v>5</v>
      </c>
      <c r="AA39" s="18">
        <f>IF($Z39=0,"",AVERAGEIF('GA Runs'!M171:M175,"&gt;=0",'GA Runs'!I171:I175))</f>
        <v>45.891800000000003</v>
      </c>
      <c r="AB39" s="20">
        <v>10277.64</v>
      </c>
      <c r="AC39" s="20">
        <v>2306.15</v>
      </c>
      <c r="AD39" s="20">
        <v>971.49</v>
      </c>
      <c r="AE39" s="20">
        <v>7000</v>
      </c>
      <c r="AF39" s="20">
        <v>2</v>
      </c>
      <c r="AG39" s="20">
        <v>3.22</v>
      </c>
      <c r="AH39" s="18">
        <f t="shared" si="7"/>
        <v>51.498428116124273</v>
      </c>
      <c r="AI39" s="18">
        <f t="shared" si="8"/>
        <v>92.5</v>
      </c>
      <c r="AJ39" s="18">
        <f t="shared" si="9"/>
        <v>95</v>
      </c>
      <c r="AK39" s="18">
        <f t="shared" si="10"/>
        <v>-2.5</v>
      </c>
      <c r="AL39" s="10" t="str">
        <f t="shared" si="11"/>
        <v>OK</v>
      </c>
      <c r="AM39" s="11"/>
    </row>
    <row r="40" spans="1:39">
      <c r="A40" s="9" t="s">
        <v>76</v>
      </c>
      <c r="B40" s="9">
        <v>73</v>
      </c>
      <c r="C40" s="9">
        <v>40</v>
      </c>
      <c r="D40" s="9">
        <v>8</v>
      </c>
      <c r="E40" s="9">
        <v>4</v>
      </c>
      <c r="F40" s="15">
        <v>0.9</v>
      </c>
      <c r="G40" s="9">
        <v>36</v>
      </c>
      <c r="H40" s="9">
        <v>4</v>
      </c>
      <c r="I40" s="15">
        <v>0.1</v>
      </c>
      <c r="J40" s="9">
        <v>4</v>
      </c>
      <c r="K40" s="17">
        <v>6467.2</v>
      </c>
      <c r="L40" s="17">
        <v>1501</v>
      </c>
      <c r="M40" s="17">
        <v>966.2</v>
      </c>
      <c r="N40" s="17">
        <v>4000</v>
      </c>
      <c r="O40" s="9" t="s">
        <v>74</v>
      </c>
      <c r="P40" s="17">
        <v>923</v>
      </c>
      <c r="Q40" s="18">
        <f>IF(COUNT('GA Runs'!M176:M180)=0,"",MIN('GA Runs'!M176:M180))</f>
        <v>6527.9830000000002</v>
      </c>
      <c r="R40" s="18">
        <f>IF($Q40="","",INDEX('GA Runs'!E176:E180,MATCH($Q40,'GA Runs'!M176:M180,0)))</f>
        <v>1535.1479999999999</v>
      </c>
      <c r="S40" s="18">
        <f>IF($Q40="","",INDEX('GA Runs'!F176:F180,MATCH($Q40,'GA Runs'!M176:M180,0)))</f>
        <v>992.83500000000004</v>
      </c>
      <c r="T40" s="18">
        <f>IF($Q40="","",INDEX('GA Runs'!G176:G180,MATCH($Q40,'GA Runs'!M176:M180,0)))</f>
        <v>4000</v>
      </c>
      <c r="U40" s="18">
        <f>IF($Q40="","",INDEX('GA Runs'!H176:H180,MATCH($Q40,'GA Runs'!M176:M180,0)))</f>
        <v>4</v>
      </c>
      <c r="V40" s="18">
        <f>IF($Q40="","",INDEX('GA Runs'!I176:I180,MATCH($Q40,'GA Runs'!M176:M180,0)))</f>
        <v>44.387999999999998</v>
      </c>
      <c r="W40" s="18">
        <f t="shared" si="6"/>
        <v>0.93986578426522083</v>
      </c>
      <c r="X40" s="18">
        <f>IF(COUNT('GA Runs'!M176:M180)=0,"",AVERAGE('GA Runs'!M176:M180))</f>
        <v>6906.5680000000011</v>
      </c>
      <c r="Y40" s="18">
        <f>IF(COUNT('GA Runs'!M176:M180)&lt;2,"",_xlfn.STDEV.S('GA Runs'!M176:M180))</f>
        <v>821.04902672190315</v>
      </c>
      <c r="Z40" s="22">
        <f>COUNT('GA Runs'!M176:M180)</f>
        <v>5</v>
      </c>
      <c r="AA40" s="18">
        <f>IF($Z40=0,"",AVERAGEIF('GA Runs'!M176:M180,"&gt;=0",'GA Runs'!I176:I180))</f>
        <v>45.097200000000001</v>
      </c>
      <c r="AB40" s="20">
        <v>10592.87</v>
      </c>
      <c r="AC40" s="20">
        <v>2622.29</v>
      </c>
      <c r="AD40" s="20">
        <v>970.58</v>
      </c>
      <c r="AE40" s="20">
        <v>7000</v>
      </c>
      <c r="AF40" s="20">
        <v>2</v>
      </c>
      <c r="AG40" s="20">
        <v>4.8499999999999996</v>
      </c>
      <c r="AH40" s="18">
        <f t="shared" si="7"/>
        <v>41.457733507735611</v>
      </c>
      <c r="AI40" s="18">
        <f t="shared" si="8"/>
        <v>90</v>
      </c>
      <c r="AJ40" s="18">
        <f t="shared" si="9"/>
        <v>95</v>
      </c>
      <c r="AK40" s="18">
        <f t="shared" si="10"/>
        <v>-5</v>
      </c>
      <c r="AL40" s="10" t="str">
        <f t="shared" si="11"/>
        <v>OK</v>
      </c>
      <c r="AM40" s="11"/>
    </row>
    <row r="41" spans="1:39">
      <c r="A41" s="9" t="s">
        <v>77</v>
      </c>
      <c r="B41" s="9">
        <v>20</v>
      </c>
      <c r="C41" s="9">
        <v>40</v>
      </c>
      <c r="D41" s="9">
        <v>8</v>
      </c>
      <c r="E41" s="9">
        <v>4</v>
      </c>
      <c r="F41" s="15">
        <v>0.1</v>
      </c>
      <c r="G41" s="9">
        <v>4</v>
      </c>
      <c r="H41" s="9">
        <v>36</v>
      </c>
      <c r="I41" s="15">
        <v>0.1</v>
      </c>
      <c r="J41" s="9">
        <v>4</v>
      </c>
      <c r="K41" s="17">
        <v>9909.7000000000007</v>
      </c>
      <c r="L41" s="17">
        <v>20.8</v>
      </c>
      <c r="M41" s="17">
        <v>888.9</v>
      </c>
      <c r="N41" s="17">
        <v>9000</v>
      </c>
      <c r="O41" s="9" t="s">
        <v>78</v>
      </c>
      <c r="P41" s="17">
        <v>610</v>
      </c>
      <c r="Q41" s="18">
        <f>IF(COUNT('GA Runs'!M181:M185)=0,"",MIN('GA Runs'!M181:M185))</f>
        <v>9948.3009999999995</v>
      </c>
      <c r="R41" s="18">
        <f>IF($Q41="","",INDEX('GA Runs'!E181:E185,MATCH($Q41,'GA Runs'!M181:M185,0)))</f>
        <v>20.800999999999998</v>
      </c>
      <c r="S41" s="18">
        <f>IF($Q41="","",INDEX('GA Runs'!F181:F185,MATCH($Q41,'GA Runs'!M181:M185,0)))</f>
        <v>927.5</v>
      </c>
      <c r="T41" s="18">
        <f>IF($Q41="","",INDEX('GA Runs'!G181:G185,MATCH($Q41,'GA Runs'!M181:M185,0)))</f>
        <v>9000</v>
      </c>
      <c r="U41" s="18">
        <f>IF($Q41="","",INDEX('GA Runs'!H181:H185,MATCH($Q41,'GA Runs'!M181:M185,0)))</f>
        <v>9</v>
      </c>
      <c r="V41" s="18">
        <f>IF($Q41="","",INDEX('GA Runs'!I181:I185,MATCH($Q41,'GA Runs'!M181:M185,0)))</f>
        <v>43.789000000000001</v>
      </c>
      <c r="W41" s="18">
        <f t="shared" si="6"/>
        <v>0.38952743271742579</v>
      </c>
      <c r="X41" s="18">
        <f>IF(COUNT('GA Runs'!M181:M185)=0,"",AVERAGE('GA Runs'!M181:M185))</f>
        <v>12922.751399999997</v>
      </c>
      <c r="Y41" s="18">
        <f>IF(COUNT('GA Runs'!M181:M185)&lt;2,"",_xlfn.STDEV.S('GA Runs'!M181:M185))</f>
        <v>3862.16399363651</v>
      </c>
      <c r="Z41" s="22">
        <f>COUNT('GA Runs'!M181:M185)</f>
        <v>5</v>
      </c>
      <c r="AA41" s="18">
        <f>IF($Z41=0,"",AVERAGEIF('GA Runs'!M181:M185,"&gt;=0",'GA Runs'!I181:I185))</f>
        <v>41.395600000000002</v>
      </c>
      <c r="AB41" s="20">
        <v>10328.11</v>
      </c>
      <c r="AC41" s="20">
        <v>435.38</v>
      </c>
      <c r="AD41" s="20">
        <v>892.73</v>
      </c>
      <c r="AE41" s="20">
        <v>9000</v>
      </c>
      <c r="AF41" s="20">
        <v>3</v>
      </c>
      <c r="AG41" s="20">
        <v>53.53</v>
      </c>
      <c r="AH41" s="18">
        <f t="shared" si="7"/>
        <v>95.222334512379987</v>
      </c>
      <c r="AI41" s="18">
        <f t="shared" si="8"/>
        <v>77.5</v>
      </c>
      <c r="AJ41" s="18">
        <f t="shared" si="9"/>
        <v>92.5</v>
      </c>
      <c r="AK41" s="18">
        <f t="shared" si="10"/>
        <v>-15</v>
      </c>
      <c r="AL41" s="10" t="str">
        <f t="shared" si="11"/>
        <v>OK</v>
      </c>
      <c r="AM41" s="11"/>
    </row>
    <row r="42" spans="1:39">
      <c r="A42" s="9" t="s">
        <v>79</v>
      </c>
      <c r="B42" s="9">
        <v>20</v>
      </c>
      <c r="C42" s="9">
        <v>40</v>
      </c>
      <c r="D42" s="9">
        <v>8</v>
      </c>
      <c r="E42" s="9">
        <v>4</v>
      </c>
      <c r="F42" s="15">
        <v>0.25</v>
      </c>
      <c r="G42" s="9">
        <v>10</v>
      </c>
      <c r="H42" s="9">
        <v>30</v>
      </c>
      <c r="I42" s="15">
        <v>0.1</v>
      </c>
      <c r="J42" s="9">
        <v>4</v>
      </c>
      <c r="K42" s="17">
        <v>9984.2000000000007</v>
      </c>
      <c r="L42" s="17">
        <v>63.4</v>
      </c>
      <c r="M42" s="17">
        <v>920.8</v>
      </c>
      <c r="N42" s="17">
        <v>9000</v>
      </c>
      <c r="O42" s="9" t="s">
        <v>80</v>
      </c>
      <c r="P42" s="17">
        <v>198</v>
      </c>
      <c r="Q42" s="18">
        <f>IF(COUNT('GA Runs'!M186:M190)=0,"",MIN('GA Runs'!M186:M190))</f>
        <v>10235.616</v>
      </c>
      <c r="R42" s="18">
        <f>IF($Q42="","",INDEX('GA Runs'!E186:E190,MATCH($Q42,'GA Runs'!M186:M190,0)))</f>
        <v>264.65600000000001</v>
      </c>
      <c r="S42" s="18">
        <f>IF($Q42="","",INDEX('GA Runs'!F186:F190,MATCH($Q42,'GA Runs'!M186:M190,0)))</f>
        <v>970.96</v>
      </c>
      <c r="T42" s="18">
        <f>IF($Q42="","",INDEX('GA Runs'!G186:G190,MATCH($Q42,'GA Runs'!M186:M190,0)))</f>
        <v>9000</v>
      </c>
      <c r="U42" s="18">
        <f>IF($Q42="","",INDEX('GA Runs'!H186:H190,MATCH($Q42,'GA Runs'!M186:M190,0)))</f>
        <v>9</v>
      </c>
      <c r="V42" s="18">
        <f>IF($Q42="","",INDEX('GA Runs'!I186:I190,MATCH($Q42,'GA Runs'!M186:M190,0)))</f>
        <v>42.637999999999998</v>
      </c>
      <c r="W42" s="18">
        <f t="shared" si="6"/>
        <v>2.518138659081341</v>
      </c>
      <c r="X42" s="18">
        <f>IF(COUNT('GA Runs'!M186:M190)=0,"",AVERAGE('GA Runs'!M186:M190))</f>
        <v>11070.506599999999</v>
      </c>
      <c r="Y42" s="18">
        <f>IF(COUNT('GA Runs'!M186:M190)&lt;2,"",_xlfn.STDEV.S('GA Runs'!M186:M190))</f>
        <v>1272.851411570045</v>
      </c>
      <c r="Z42" s="22">
        <f>COUNT('GA Runs'!M186:M190)</f>
        <v>5</v>
      </c>
      <c r="AA42" s="18">
        <f>IF($Z42=0,"",AVERAGEIF('GA Runs'!M186:M190,"&gt;=0",'GA Runs'!I186:I190))</f>
        <v>43.281399999999998</v>
      </c>
      <c r="AB42" s="20">
        <v>15618.51</v>
      </c>
      <c r="AC42" s="20">
        <v>643.02</v>
      </c>
      <c r="AD42" s="20">
        <v>975.48</v>
      </c>
      <c r="AE42" s="20">
        <v>14000</v>
      </c>
      <c r="AF42" s="20">
        <v>4</v>
      </c>
      <c r="AG42" s="20">
        <v>6.76</v>
      </c>
      <c r="AH42" s="18">
        <f t="shared" si="7"/>
        <v>58.841715654256468</v>
      </c>
      <c r="AI42" s="18">
        <f t="shared" si="8"/>
        <v>77.5</v>
      </c>
      <c r="AJ42" s="18">
        <f t="shared" si="9"/>
        <v>90</v>
      </c>
      <c r="AK42" s="18">
        <f t="shared" si="10"/>
        <v>-12.5</v>
      </c>
      <c r="AL42" s="10" t="str">
        <f t="shared" si="11"/>
        <v>OK</v>
      </c>
      <c r="AM42" s="11"/>
    </row>
    <row r="43" spans="1:39">
      <c r="A43" s="9" t="s">
        <v>81</v>
      </c>
      <c r="B43" s="9">
        <v>20</v>
      </c>
      <c r="C43" s="9">
        <v>40</v>
      </c>
      <c r="D43" s="9">
        <v>8</v>
      </c>
      <c r="E43" s="9">
        <v>4</v>
      </c>
      <c r="F43" s="15">
        <v>0.5</v>
      </c>
      <c r="G43" s="9">
        <v>20</v>
      </c>
      <c r="H43" s="9">
        <v>20</v>
      </c>
      <c r="I43" s="15">
        <v>0.1</v>
      </c>
      <c r="J43" s="9">
        <v>4</v>
      </c>
      <c r="K43" s="17">
        <v>8539.5</v>
      </c>
      <c r="L43" s="17">
        <v>601.9</v>
      </c>
      <c r="M43" s="17">
        <v>937.5</v>
      </c>
      <c r="N43" s="17">
        <v>7000</v>
      </c>
      <c r="O43" s="9" t="s">
        <v>82</v>
      </c>
      <c r="P43" s="17">
        <v>3551</v>
      </c>
      <c r="Q43" s="18">
        <f>IF(COUNT('GA Runs'!M191:M195)=0,"",MIN('GA Runs'!M191:M195))</f>
        <v>8618.7530000000006</v>
      </c>
      <c r="R43" s="18">
        <f>IF($Q43="","",INDEX('GA Runs'!E191:E195,MATCH($Q43,'GA Runs'!M191:M195,0)))</f>
        <v>606.90800000000002</v>
      </c>
      <c r="S43" s="18">
        <f>IF($Q43="","",INDEX('GA Runs'!F191:F195,MATCH($Q43,'GA Runs'!M191:M195,0)))</f>
        <v>1011.845</v>
      </c>
      <c r="T43" s="18">
        <f>IF($Q43="","",INDEX('GA Runs'!G191:G195,MATCH($Q43,'GA Runs'!M191:M195,0)))</f>
        <v>7000</v>
      </c>
      <c r="U43" s="18">
        <f>IF($Q43="","",INDEX('GA Runs'!H191:H195,MATCH($Q43,'GA Runs'!M191:M195,0)))</f>
        <v>7</v>
      </c>
      <c r="V43" s="18">
        <f>IF($Q43="","",INDEX('GA Runs'!I191:I195,MATCH($Q43,'GA Runs'!M191:M195,0)))</f>
        <v>43.478999999999999</v>
      </c>
      <c r="W43" s="18">
        <f t="shared" si="6"/>
        <v>0.92807541425142703</v>
      </c>
      <c r="X43" s="18">
        <f>IF(COUNT('GA Runs'!M191:M195)=0,"",AVERAGE('GA Runs'!M191:M195))</f>
        <v>9854.6507999999994</v>
      </c>
      <c r="Y43" s="18">
        <f>IF(COUNT('GA Runs'!M191:M195)&lt;2,"",_xlfn.STDEV.S('GA Runs'!M191:M195))</f>
        <v>1560.7803121940976</v>
      </c>
      <c r="Z43" s="22">
        <f>COUNT('GA Runs'!M191:M195)</f>
        <v>5</v>
      </c>
      <c r="AA43" s="18">
        <f>IF($Z43=0,"",AVERAGEIF('GA Runs'!M191:M195,"&gt;=0",'GA Runs'!I191:I195))</f>
        <v>39.1462</v>
      </c>
      <c r="AB43" s="20">
        <v>14358.23</v>
      </c>
      <c r="AC43" s="20">
        <v>1408.37</v>
      </c>
      <c r="AD43" s="20">
        <v>949.87</v>
      </c>
      <c r="AE43" s="20">
        <v>12000</v>
      </c>
      <c r="AF43" s="20">
        <v>3</v>
      </c>
      <c r="AG43" s="20">
        <v>5.49</v>
      </c>
      <c r="AH43" s="18">
        <f t="shared" si="7"/>
        <v>56.907062774696982</v>
      </c>
      <c r="AI43" s="18">
        <f t="shared" si="8"/>
        <v>82.5</v>
      </c>
      <c r="AJ43" s="18">
        <f t="shared" si="9"/>
        <v>92.5</v>
      </c>
      <c r="AK43" s="18">
        <f t="shared" si="10"/>
        <v>-10</v>
      </c>
      <c r="AL43" s="10" t="str">
        <f t="shared" si="11"/>
        <v>OK</v>
      </c>
      <c r="AM43" s="11"/>
    </row>
    <row r="44" spans="1:39">
      <c r="A44" s="9" t="s">
        <v>83</v>
      </c>
      <c r="B44" s="9">
        <v>20</v>
      </c>
      <c r="C44" s="9">
        <v>40</v>
      </c>
      <c r="D44" s="9">
        <v>8</v>
      </c>
      <c r="E44" s="9">
        <v>4</v>
      </c>
      <c r="F44" s="15">
        <v>0.75</v>
      </c>
      <c r="G44" s="9">
        <v>30</v>
      </c>
      <c r="H44" s="9">
        <v>10</v>
      </c>
      <c r="I44" s="15">
        <v>0.1</v>
      </c>
      <c r="J44" s="9">
        <v>4</v>
      </c>
      <c r="K44" s="17">
        <v>8941.6</v>
      </c>
      <c r="L44" s="17">
        <v>976.4</v>
      </c>
      <c r="M44" s="17">
        <v>965.2</v>
      </c>
      <c r="N44" s="17">
        <v>7000</v>
      </c>
      <c r="O44" s="9" t="s">
        <v>82</v>
      </c>
      <c r="P44" s="17">
        <v>18955</v>
      </c>
      <c r="Q44" s="18">
        <f>IF(COUNT('GA Runs'!M196:M200)=0,"",MIN('GA Runs'!M196:M200))</f>
        <v>9174.9509999999991</v>
      </c>
      <c r="R44" s="18">
        <f>IF($Q44="","",INDEX('GA Runs'!E196:E200,MATCH($Q44,'GA Runs'!M196:M200,0)))</f>
        <v>1186.5540000000001</v>
      </c>
      <c r="S44" s="18">
        <f>IF($Q44="","",INDEX('GA Runs'!F196:F200,MATCH($Q44,'GA Runs'!M196:M200,0)))</f>
        <v>988.39700000000005</v>
      </c>
      <c r="T44" s="18">
        <f>IF($Q44="","",INDEX('GA Runs'!G196:G200,MATCH($Q44,'GA Runs'!M196:M200,0)))</f>
        <v>7000</v>
      </c>
      <c r="U44" s="18">
        <f>IF($Q44="","",INDEX('GA Runs'!H196:H200,MATCH($Q44,'GA Runs'!M196:M200,0)))</f>
        <v>7</v>
      </c>
      <c r="V44" s="18">
        <f>IF($Q44="","",INDEX('GA Runs'!I196:I200,MATCH($Q44,'GA Runs'!M196:M200,0)))</f>
        <v>43.594000000000001</v>
      </c>
      <c r="W44" s="18">
        <f t="shared" si="6"/>
        <v>2.609723092064046</v>
      </c>
      <c r="X44" s="18">
        <f>IF(COUNT('GA Runs'!M196:M200)=0,"",AVERAGE('GA Runs'!M196:M200))</f>
        <v>10785.971200000002</v>
      </c>
      <c r="Y44" s="18">
        <f>IF(COUNT('GA Runs'!M196:M200)&lt;2,"",_xlfn.STDEV.S('GA Runs'!M196:M200))</f>
        <v>1468.9618487570294</v>
      </c>
      <c r="Z44" s="22">
        <f>COUNT('GA Runs'!M196:M200)</f>
        <v>5</v>
      </c>
      <c r="AA44" s="18">
        <f>IF($Z44=0,"",AVERAGEIF('GA Runs'!M196:M200,"&gt;=0",'GA Runs'!I196:I200))</f>
        <v>42.530799999999992</v>
      </c>
      <c r="AB44" s="20">
        <v>21201.79</v>
      </c>
      <c r="AC44" s="20">
        <v>2200.04</v>
      </c>
      <c r="AD44" s="20">
        <v>1001.75</v>
      </c>
      <c r="AE44" s="20">
        <v>18000</v>
      </c>
      <c r="AF44" s="20">
        <v>5</v>
      </c>
      <c r="AG44" s="20">
        <v>5.0999999999999996</v>
      </c>
      <c r="AH44" s="18">
        <f t="shared" si="7"/>
        <v>46.066707878038578</v>
      </c>
      <c r="AI44" s="18">
        <f t="shared" si="8"/>
        <v>82.5</v>
      </c>
      <c r="AJ44" s="18">
        <f t="shared" si="9"/>
        <v>87.5</v>
      </c>
      <c r="AK44" s="18">
        <f t="shared" si="10"/>
        <v>-5</v>
      </c>
      <c r="AL44" s="10" t="str">
        <f t="shared" si="11"/>
        <v>OK</v>
      </c>
      <c r="AM44" s="11"/>
    </row>
    <row r="45" spans="1:39">
      <c r="A45" s="9" t="s">
        <v>84</v>
      </c>
      <c r="B45" s="9">
        <v>20</v>
      </c>
      <c r="C45" s="9">
        <v>40</v>
      </c>
      <c r="D45" s="9">
        <v>8</v>
      </c>
      <c r="E45" s="9">
        <v>4</v>
      </c>
      <c r="F45" s="15">
        <v>0.9</v>
      </c>
      <c r="G45" s="9">
        <v>36</v>
      </c>
      <c r="H45" s="9">
        <v>4</v>
      </c>
      <c r="I45" s="15">
        <v>0.1</v>
      </c>
      <c r="J45" s="9">
        <v>4</v>
      </c>
      <c r="K45" s="17" t="s">
        <v>69</v>
      </c>
      <c r="L45" s="17" t="s">
        <v>69</v>
      </c>
      <c r="M45" s="17" t="s">
        <v>69</v>
      </c>
      <c r="N45" s="17" t="s">
        <v>69</v>
      </c>
      <c r="O45" s="9" t="s">
        <v>69</v>
      </c>
      <c r="P45" s="17">
        <v>21600</v>
      </c>
      <c r="Q45" s="18">
        <f>IF(COUNT('GA Runs'!M201:M205)=0,"",MIN('GA Runs'!M201:M205))</f>
        <v>12270.762000000001</v>
      </c>
      <c r="R45" s="18">
        <f>IF($Q45="","",INDEX('GA Runs'!E201:E205,MATCH($Q45,'GA Runs'!M201:M205,0)))</f>
        <v>1350.8869999999999</v>
      </c>
      <c r="S45" s="18">
        <f>IF($Q45="","",INDEX('GA Runs'!F201:F205,MATCH($Q45,'GA Runs'!M201:M205,0)))</f>
        <v>919.875</v>
      </c>
      <c r="T45" s="18">
        <f>IF($Q45="","",INDEX('GA Runs'!G201:G205,MATCH($Q45,'GA Runs'!M201:M205,0)))</f>
        <v>10000</v>
      </c>
      <c r="U45" s="18">
        <f>IF($Q45="","",INDEX('GA Runs'!H201:H205,MATCH($Q45,'GA Runs'!M201:M205,0)))</f>
        <v>10</v>
      </c>
      <c r="V45" s="18">
        <f>IF($Q45="","",INDEX('GA Runs'!I201:I205,MATCH($Q45,'GA Runs'!M201:M205,0)))</f>
        <v>41.786999999999999</v>
      </c>
      <c r="W45" s="18" t="str">
        <f t="shared" si="6"/>
        <v/>
      </c>
      <c r="X45" s="18">
        <f>IF(COUNT('GA Runs'!M201:M205)=0,"",AVERAGE('GA Runs'!M201:M205))</f>
        <v>14055.136199999999</v>
      </c>
      <c r="Y45" s="18">
        <f>IF(COUNT('GA Runs'!M201:M205)&lt;2,"",_xlfn.STDEV.S('GA Runs'!M201:M205))</f>
        <v>1211.9498017464255</v>
      </c>
      <c r="Z45" s="22">
        <f>COUNT('GA Runs'!M201:M205)</f>
        <v>5</v>
      </c>
      <c r="AA45" s="18">
        <f>IF($Z45=0,"",AVERAGEIF('GA Runs'!M201:M205,"&gt;=0",'GA Runs'!I201:I205))</f>
        <v>42.915199999999992</v>
      </c>
      <c r="AB45" s="20">
        <v>23817.47</v>
      </c>
      <c r="AC45" s="20">
        <v>2890.75</v>
      </c>
      <c r="AD45" s="20">
        <v>926.72</v>
      </c>
      <c r="AE45" s="20">
        <v>20000</v>
      </c>
      <c r="AF45" s="20">
        <v>6</v>
      </c>
      <c r="AG45" s="20">
        <v>3.34</v>
      </c>
      <c r="AH45" s="18">
        <f t="shared" si="7"/>
        <v>53.268632707774806</v>
      </c>
      <c r="AI45" s="18">
        <f t="shared" si="8"/>
        <v>75</v>
      </c>
      <c r="AJ45" s="18">
        <f t="shared" si="9"/>
        <v>85</v>
      </c>
      <c r="AK45" s="18">
        <f t="shared" si="10"/>
        <v>-10</v>
      </c>
      <c r="AL45" s="10" t="str">
        <f t="shared" si="11"/>
        <v>OK</v>
      </c>
      <c r="AM45" s="11"/>
    </row>
    <row r="46" spans="1:39">
      <c r="A46" s="9" t="s">
        <v>85</v>
      </c>
      <c r="B46" s="9">
        <v>37</v>
      </c>
      <c r="C46" s="9">
        <v>40</v>
      </c>
      <c r="D46" s="9">
        <v>8</v>
      </c>
      <c r="E46" s="9">
        <v>4</v>
      </c>
      <c r="F46" s="15">
        <v>0.1</v>
      </c>
      <c r="G46" s="9">
        <v>4</v>
      </c>
      <c r="H46" s="9">
        <v>36</v>
      </c>
      <c r="I46" s="15">
        <v>0.1</v>
      </c>
      <c r="J46" s="9">
        <v>4</v>
      </c>
      <c r="K46" s="17">
        <v>8924.2000000000007</v>
      </c>
      <c r="L46" s="17">
        <v>165.2</v>
      </c>
      <c r="M46" s="17">
        <v>759</v>
      </c>
      <c r="N46" s="17">
        <v>8000</v>
      </c>
      <c r="O46" s="9" t="s">
        <v>82</v>
      </c>
      <c r="P46" s="17">
        <v>100</v>
      </c>
      <c r="Q46" s="18">
        <f>IF(COUNT('GA Runs'!M206:M210)=0,"",MIN('GA Runs'!M206:M210))</f>
        <v>11763.967000000001</v>
      </c>
      <c r="R46" s="18">
        <f>IF($Q46="","",INDEX('GA Runs'!E206:E210,MATCH($Q46,'GA Runs'!M206:M210,0)))</f>
        <v>19.888000000000002</v>
      </c>
      <c r="S46" s="18">
        <f>IF($Q46="","",INDEX('GA Runs'!F206:F210,MATCH($Q46,'GA Runs'!M206:M210,0)))</f>
        <v>744.07899999999995</v>
      </c>
      <c r="T46" s="18">
        <f>IF($Q46="","",INDEX('GA Runs'!G206:G210,MATCH($Q46,'GA Runs'!M206:M210,0)))</f>
        <v>11000</v>
      </c>
      <c r="U46" s="18">
        <f>IF($Q46="","",INDEX('GA Runs'!H206:H210,MATCH($Q46,'GA Runs'!M206:M210,0)))</f>
        <v>11</v>
      </c>
      <c r="V46" s="18">
        <f>IF($Q46="","",INDEX('GA Runs'!I206:I210,MATCH($Q46,'GA Runs'!M206:M210,0)))</f>
        <v>40.835999999999999</v>
      </c>
      <c r="W46" s="18">
        <f t="shared" si="6"/>
        <v>31.820969946885988</v>
      </c>
      <c r="X46" s="18">
        <f>IF(COUNT('GA Runs'!M206:M210)=0,"",AVERAGE('GA Runs'!M206:M210))</f>
        <v>11800.1772</v>
      </c>
      <c r="Y46" s="18">
        <f>IF(COUNT('GA Runs'!M206:M210)&lt;2,"",_xlfn.STDEV.S('GA Runs'!M206:M210))</f>
        <v>29.418403665052917</v>
      </c>
      <c r="Z46" s="22">
        <f>COUNT('GA Runs'!M206:M210)</f>
        <v>5</v>
      </c>
      <c r="AA46" s="18">
        <f>IF($Z46=0,"",AVERAGEIF('GA Runs'!M206:M210,"&gt;=0",'GA Runs'!I206:I210))</f>
        <v>40.688000000000002</v>
      </c>
      <c r="AB46" s="20">
        <v>13070.98</v>
      </c>
      <c r="AC46" s="20">
        <v>376.09</v>
      </c>
      <c r="AD46" s="20">
        <v>694.89</v>
      </c>
      <c r="AE46" s="20">
        <v>12000</v>
      </c>
      <c r="AF46" s="20">
        <v>3</v>
      </c>
      <c r="AG46" s="20">
        <v>19.079999999999998</v>
      </c>
      <c r="AH46" s="18">
        <f t="shared" si="7"/>
        <v>94.711904065516237</v>
      </c>
      <c r="AI46" s="18">
        <f t="shared" si="8"/>
        <v>72.5</v>
      </c>
      <c r="AJ46" s="18">
        <f t="shared" si="9"/>
        <v>92.5</v>
      </c>
      <c r="AK46" s="18">
        <f t="shared" si="10"/>
        <v>-20</v>
      </c>
      <c r="AL46" s="10" t="str">
        <f t="shared" si="11"/>
        <v>OK</v>
      </c>
      <c r="AM46" s="11"/>
    </row>
    <row r="47" spans="1:39">
      <c r="A47" s="9" t="s">
        <v>86</v>
      </c>
      <c r="B47" s="9">
        <v>37</v>
      </c>
      <c r="C47" s="9">
        <v>40</v>
      </c>
      <c r="D47" s="9">
        <v>8</v>
      </c>
      <c r="E47" s="9">
        <v>4</v>
      </c>
      <c r="F47" s="15">
        <v>0.25</v>
      </c>
      <c r="G47" s="9">
        <v>10</v>
      </c>
      <c r="H47" s="9">
        <v>30</v>
      </c>
      <c r="I47" s="15">
        <v>0.1</v>
      </c>
      <c r="J47" s="9">
        <v>4</v>
      </c>
      <c r="K47" s="17">
        <v>8947.5</v>
      </c>
      <c r="L47" s="17">
        <v>165.2</v>
      </c>
      <c r="M47" s="17">
        <v>782.3</v>
      </c>
      <c r="N47" s="17">
        <v>8000</v>
      </c>
      <c r="O47" s="9" t="s">
        <v>87</v>
      </c>
      <c r="P47" s="17">
        <v>100</v>
      </c>
      <c r="Q47" s="18">
        <f>IF(COUNT('GA Runs'!M211:M215)=0,"",MIN('GA Runs'!M211:M215))</f>
        <v>9057.1190000000006</v>
      </c>
      <c r="R47" s="18">
        <f>IF($Q47="","",INDEX('GA Runs'!E211:E215,MATCH($Q47,'GA Runs'!M211:M215,0)))</f>
        <v>255.66399999999999</v>
      </c>
      <c r="S47" s="18">
        <f>IF($Q47="","",INDEX('GA Runs'!F211:F215,MATCH($Q47,'GA Runs'!M211:M215,0)))</f>
        <v>801.45500000000004</v>
      </c>
      <c r="T47" s="18">
        <f>IF($Q47="","",INDEX('GA Runs'!G211:G215,MATCH($Q47,'GA Runs'!M211:M215,0)))</f>
        <v>8000</v>
      </c>
      <c r="U47" s="18">
        <f>IF($Q47="","",INDEX('GA Runs'!H211:H215,MATCH($Q47,'GA Runs'!M211:M215,0)))</f>
        <v>8</v>
      </c>
      <c r="V47" s="18">
        <f>IF($Q47="","",INDEX('GA Runs'!I211:I215,MATCH($Q47,'GA Runs'!M211:M215,0)))</f>
        <v>37.698</v>
      </c>
      <c r="W47" s="18">
        <f t="shared" si="6"/>
        <v>1.225135512713055</v>
      </c>
      <c r="X47" s="18">
        <f>IF(COUNT('GA Runs'!M211:M215)=0,"",AVERAGE('GA Runs'!M211:M215))</f>
        <v>11263.072</v>
      </c>
      <c r="Y47" s="18">
        <f>IF(COUNT('GA Runs'!M211:M215)&lt;2,"",_xlfn.STDEV.S('GA Runs'!M211:M215))</f>
        <v>1233.4982456000898</v>
      </c>
      <c r="Z47" s="22">
        <f>COUNT('GA Runs'!M211:M215)</f>
        <v>5</v>
      </c>
      <c r="AA47" s="18">
        <f>IF($Z47=0,"",AVERAGEIF('GA Runs'!M211:M215,"&gt;=0",'GA Runs'!I211:I215))</f>
        <v>40.210999999999999</v>
      </c>
      <c r="AB47" s="20">
        <v>15454.32</v>
      </c>
      <c r="AC47" s="20">
        <v>620.67999999999995</v>
      </c>
      <c r="AD47" s="20">
        <v>833.64</v>
      </c>
      <c r="AE47" s="20">
        <v>14000</v>
      </c>
      <c r="AF47" s="20">
        <v>4</v>
      </c>
      <c r="AG47" s="20">
        <v>9.0299999999999994</v>
      </c>
      <c r="AH47" s="18">
        <f t="shared" si="7"/>
        <v>58.809048140748857</v>
      </c>
      <c r="AI47" s="18">
        <f t="shared" si="8"/>
        <v>80</v>
      </c>
      <c r="AJ47" s="18">
        <f t="shared" si="9"/>
        <v>90</v>
      </c>
      <c r="AK47" s="18">
        <f t="shared" si="10"/>
        <v>-10</v>
      </c>
      <c r="AL47" s="10" t="str">
        <f t="shared" si="11"/>
        <v>OK</v>
      </c>
      <c r="AM47" s="11"/>
    </row>
    <row r="48" spans="1:39">
      <c r="A48" s="9" t="s">
        <v>88</v>
      </c>
      <c r="B48" s="9">
        <v>37</v>
      </c>
      <c r="C48" s="9">
        <v>40</v>
      </c>
      <c r="D48" s="9">
        <v>8</v>
      </c>
      <c r="E48" s="9">
        <v>4</v>
      </c>
      <c r="F48" s="15">
        <v>0.5</v>
      </c>
      <c r="G48" s="9">
        <v>20</v>
      </c>
      <c r="H48" s="9">
        <v>20</v>
      </c>
      <c r="I48" s="15">
        <v>0.1</v>
      </c>
      <c r="J48" s="9">
        <v>4</v>
      </c>
      <c r="K48" s="17">
        <v>9392.6</v>
      </c>
      <c r="L48" s="17">
        <v>606</v>
      </c>
      <c r="M48" s="17">
        <v>786.6</v>
      </c>
      <c r="N48" s="17">
        <v>8000</v>
      </c>
      <c r="O48" s="9" t="s">
        <v>87</v>
      </c>
      <c r="P48" s="17">
        <v>544</v>
      </c>
      <c r="Q48" s="18">
        <f>IF(COUNT('GA Runs'!M216:M220)=0,"",MIN('GA Runs'!M216:M220))</f>
        <v>9446.7749999999996</v>
      </c>
      <c r="R48" s="18">
        <f>IF($Q48="","",INDEX('GA Runs'!E216:E220,MATCH($Q48,'GA Runs'!M216:M220,0)))</f>
        <v>601.10299999999995</v>
      </c>
      <c r="S48" s="18">
        <f>IF($Q48="","",INDEX('GA Runs'!F216:F220,MATCH($Q48,'GA Runs'!M216:M220,0)))</f>
        <v>845.67100000000005</v>
      </c>
      <c r="T48" s="18">
        <f>IF($Q48="","",INDEX('GA Runs'!G216:G220,MATCH($Q48,'GA Runs'!M216:M220,0)))</f>
        <v>8000</v>
      </c>
      <c r="U48" s="18">
        <f>IF($Q48="","",INDEX('GA Runs'!H216:H220,MATCH($Q48,'GA Runs'!M216:M220,0)))</f>
        <v>8</v>
      </c>
      <c r="V48" s="18">
        <f>IF($Q48="","",INDEX('GA Runs'!I216:I220,MATCH($Q48,'GA Runs'!M216:M220,0)))</f>
        <v>44.268999999999998</v>
      </c>
      <c r="W48" s="18">
        <f t="shared" si="6"/>
        <v>0.57678385111682884</v>
      </c>
      <c r="X48" s="18">
        <f>IF(COUNT('GA Runs'!M216:M220)=0,"",AVERAGE('GA Runs'!M216:M220))</f>
        <v>11645.837</v>
      </c>
      <c r="Y48" s="18">
        <f>IF(COUNT('GA Runs'!M216:M220)&lt;2,"",_xlfn.STDEV.S('GA Runs'!M216:M220))</f>
        <v>1231.5369180927955</v>
      </c>
      <c r="Z48" s="22">
        <f>COUNT('GA Runs'!M216:M220)</f>
        <v>5</v>
      </c>
      <c r="AA48" s="18">
        <f>IF($Z48=0,"",AVERAGEIF('GA Runs'!M216:M220,"&gt;=0",'GA Runs'!I216:I220))</f>
        <v>43.273999999999994</v>
      </c>
      <c r="AB48" s="20">
        <v>19196.8</v>
      </c>
      <c r="AC48" s="20">
        <v>1320.8</v>
      </c>
      <c r="AD48" s="20">
        <v>876</v>
      </c>
      <c r="AE48" s="20">
        <v>17000</v>
      </c>
      <c r="AF48" s="20">
        <v>5</v>
      </c>
      <c r="AG48" s="20">
        <v>7.55</v>
      </c>
      <c r="AH48" s="18">
        <f t="shared" si="7"/>
        <v>54.489476075105998</v>
      </c>
      <c r="AI48" s="18">
        <f t="shared" si="8"/>
        <v>80</v>
      </c>
      <c r="AJ48" s="18">
        <f t="shared" si="9"/>
        <v>87.5</v>
      </c>
      <c r="AK48" s="18">
        <f t="shared" si="10"/>
        <v>-7.5</v>
      </c>
      <c r="AL48" s="10" t="str">
        <f t="shared" si="11"/>
        <v>OK</v>
      </c>
      <c r="AM48" s="11"/>
    </row>
    <row r="49" spans="1:39">
      <c r="A49" s="9" t="s">
        <v>89</v>
      </c>
      <c r="B49" s="9">
        <v>37</v>
      </c>
      <c r="C49" s="9">
        <v>40</v>
      </c>
      <c r="D49" s="9">
        <v>8</v>
      </c>
      <c r="E49" s="9">
        <v>4</v>
      </c>
      <c r="F49" s="15">
        <v>0.75</v>
      </c>
      <c r="G49" s="9">
        <v>30</v>
      </c>
      <c r="H49" s="9">
        <v>10</v>
      </c>
      <c r="I49" s="15">
        <v>0.1</v>
      </c>
      <c r="J49" s="9">
        <v>4</v>
      </c>
      <c r="K49" s="17">
        <v>9802</v>
      </c>
      <c r="L49" s="17">
        <v>955.3</v>
      </c>
      <c r="M49" s="17">
        <v>846.8</v>
      </c>
      <c r="N49" s="17">
        <v>8000</v>
      </c>
      <c r="O49" s="9" t="s">
        <v>90</v>
      </c>
      <c r="P49" s="17">
        <v>15222</v>
      </c>
      <c r="Q49" s="18">
        <f>IF(COUNT('GA Runs'!M221:M225)=0,"",MIN('GA Runs'!M221:M225))</f>
        <v>9875.9040000000005</v>
      </c>
      <c r="R49" s="18">
        <f>IF($Q49="","",INDEX('GA Runs'!E221:E225,MATCH($Q49,'GA Runs'!M221:M225,0)))</f>
        <v>1023.169</v>
      </c>
      <c r="S49" s="18">
        <f>IF($Q49="","",INDEX('GA Runs'!F221:F225,MATCH($Q49,'GA Runs'!M221:M225,0)))</f>
        <v>852.73500000000001</v>
      </c>
      <c r="T49" s="18">
        <f>IF($Q49="","",INDEX('GA Runs'!G221:G225,MATCH($Q49,'GA Runs'!M221:M225,0)))</f>
        <v>8000</v>
      </c>
      <c r="U49" s="18">
        <f>IF($Q49="","",INDEX('GA Runs'!H221:H225,MATCH($Q49,'GA Runs'!M221:M225,0)))</f>
        <v>8</v>
      </c>
      <c r="V49" s="18">
        <f>IF($Q49="","",INDEX('GA Runs'!I221:I225,MATCH($Q49,'GA Runs'!M221:M225,0)))</f>
        <v>42.399000000000001</v>
      </c>
      <c r="W49" s="18">
        <f t="shared" si="6"/>
        <v>0.75396857784126148</v>
      </c>
      <c r="X49" s="18">
        <f>IF(COUNT('GA Runs'!M221:M225)=0,"",AVERAGE('GA Runs'!M221:M225))</f>
        <v>10452.631799999999</v>
      </c>
      <c r="Y49" s="18">
        <f>IF(COUNT('GA Runs'!M221:M225)&lt;2,"",_xlfn.STDEV.S('GA Runs'!M221:M225))</f>
        <v>1143.3055516086679</v>
      </c>
      <c r="Z49" s="22">
        <f>COUNT('GA Runs'!M221:M225)</f>
        <v>5</v>
      </c>
      <c r="AA49" s="18">
        <f>IF($Z49=0,"",AVERAGEIF('GA Runs'!M221:M225,"&gt;=0",'GA Runs'!I221:I225))</f>
        <v>42.225800000000007</v>
      </c>
      <c r="AB49" s="20">
        <v>16985.68</v>
      </c>
      <c r="AC49" s="20">
        <v>2182.92</v>
      </c>
      <c r="AD49" s="20">
        <v>802.76</v>
      </c>
      <c r="AE49" s="20">
        <v>14000</v>
      </c>
      <c r="AF49" s="20">
        <v>4</v>
      </c>
      <c r="AG49" s="20">
        <v>2.27</v>
      </c>
      <c r="AH49" s="18">
        <f t="shared" si="7"/>
        <v>53.128424312388915</v>
      </c>
      <c r="AI49" s="18">
        <f t="shared" si="8"/>
        <v>80</v>
      </c>
      <c r="AJ49" s="18">
        <f t="shared" si="9"/>
        <v>90</v>
      </c>
      <c r="AK49" s="18">
        <f t="shared" si="10"/>
        <v>-10</v>
      </c>
      <c r="AL49" s="10" t="str">
        <f t="shared" si="11"/>
        <v>OK</v>
      </c>
      <c r="AM49" s="11"/>
    </row>
    <row r="50" spans="1:39">
      <c r="A50" s="9" t="s">
        <v>91</v>
      </c>
      <c r="B50" s="9">
        <v>37</v>
      </c>
      <c r="C50" s="9">
        <v>40</v>
      </c>
      <c r="D50" s="9">
        <v>8</v>
      </c>
      <c r="E50" s="9">
        <v>4</v>
      </c>
      <c r="F50" s="15">
        <v>0.9</v>
      </c>
      <c r="G50" s="9">
        <v>36</v>
      </c>
      <c r="H50" s="9">
        <v>4</v>
      </c>
      <c r="I50" s="15">
        <v>0.1</v>
      </c>
      <c r="J50" s="9">
        <v>4</v>
      </c>
      <c r="K50" s="17" t="s">
        <v>69</v>
      </c>
      <c r="L50" s="17" t="s">
        <v>69</v>
      </c>
      <c r="M50" s="17" t="s">
        <v>69</v>
      </c>
      <c r="N50" s="17" t="s">
        <v>69</v>
      </c>
      <c r="O50" s="9" t="s">
        <v>69</v>
      </c>
      <c r="P50" s="17">
        <v>21600</v>
      </c>
      <c r="Q50" s="18">
        <f>IF(COUNT('GA Runs'!M226:M230)=0,"",MIN('GA Runs'!M226:M230))</f>
        <v>10051.762000000001</v>
      </c>
      <c r="R50" s="18">
        <f>IF($Q50="","",INDEX('GA Runs'!E226:E230,MATCH($Q50,'GA Runs'!M226:M230,0)))</f>
        <v>1173.05</v>
      </c>
      <c r="S50" s="18">
        <f>IF($Q50="","",INDEX('GA Runs'!F226:F230,MATCH($Q50,'GA Runs'!M226:M230,0)))</f>
        <v>878.71199999999999</v>
      </c>
      <c r="T50" s="18">
        <f>IF($Q50="","",INDEX('GA Runs'!G226:G230,MATCH($Q50,'GA Runs'!M226:M230,0)))</f>
        <v>8000</v>
      </c>
      <c r="U50" s="18">
        <f>IF($Q50="","",INDEX('GA Runs'!H226:H230,MATCH($Q50,'GA Runs'!M226:M230,0)))</f>
        <v>8</v>
      </c>
      <c r="V50" s="18">
        <f>IF($Q50="","",INDEX('GA Runs'!I226:I230,MATCH($Q50,'GA Runs'!M226:M230,0)))</f>
        <v>41.070999999999998</v>
      </c>
      <c r="W50" s="18" t="str">
        <f t="shared" si="6"/>
        <v/>
      </c>
      <c r="X50" s="18">
        <f>IF(COUNT('GA Runs'!M226:M230)=0,"",AVERAGE('GA Runs'!M226:M230))</f>
        <v>11046.352999999999</v>
      </c>
      <c r="Y50" s="18">
        <f>IF(COUNT('GA Runs'!M226:M230)&lt;2,"",_xlfn.STDEV.S('GA Runs'!M226:M230))</f>
        <v>2093.970521592059</v>
      </c>
      <c r="Z50" s="22">
        <f>COUNT('GA Runs'!M226:M230)</f>
        <v>5</v>
      </c>
      <c r="AA50" s="18">
        <f>IF($Z50=0,"",AVERAGEIF('GA Runs'!M226:M230,"&gt;=0",'GA Runs'!I226:I230))</f>
        <v>41.887999999999998</v>
      </c>
      <c r="AB50" s="20">
        <v>21670.84</v>
      </c>
      <c r="AC50" s="20">
        <v>2766.55</v>
      </c>
      <c r="AD50" s="20">
        <v>904.3</v>
      </c>
      <c r="AE50" s="20">
        <v>18000</v>
      </c>
      <c r="AF50" s="20">
        <v>5</v>
      </c>
      <c r="AG50" s="20">
        <v>2.97</v>
      </c>
      <c r="AH50" s="18">
        <f t="shared" si="7"/>
        <v>57.598814407836478</v>
      </c>
      <c r="AI50" s="18">
        <f t="shared" si="8"/>
        <v>80</v>
      </c>
      <c r="AJ50" s="18">
        <f t="shared" si="9"/>
        <v>87.5</v>
      </c>
      <c r="AK50" s="18">
        <f t="shared" si="10"/>
        <v>-7.5</v>
      </c>
      <c r="AL50" s="10" t="str">
        <f t="shared" si="11"/>
        <v>OK</v>
      </c>
      <c r="AM50" s="11"/>
    </row>
    <row r="51" spans="1:39">
      <c r="A51" s="9" t="s">
        <v>92</v>
      </c>
      <c r="B51" s="9">
        <v>42</v>
      </c>
      <c r="C51" s="9">
        <v>40</v>
      </c>
      <c r="D51" s="9">
        <v>8</v>
      </c>
      <c r="E51" s="9">
        <v>4</v>
      </c>
      <c r="F51" s="15">
        <v>0.1</v>
      </c>
      <c r="G51" s="9">
        <v>4</v>
      </c>
      <c r="H51" s="9">
        <v>36</v>
      </c>
      <c r="I51" s="15">
        <v>0.1</v>
      </c>
      <c r="J51" s="9">
        <v>4</v>
      </c>
      <c r="K51" s="17">
        <v>3807.4</v>
      </c>
      <c r="L51" s="17">
        <v>12.7</v>
      </c>
      <c r="M51" s="17">
        <v>794.7</v>
      </c>
      <c r="N51" s="17">
        <v>3000</v>
      </c>
      <c r="O51" s="9" t="s">
        <v>71</v>
      </c>
      <c r="P51" s="17">
        <v>15</v>
      </c>
      <c r="Q51" s="18">
        <f>IF(COUNT('GA Runs'!M231:M235)=0,"",MIN('GA Runs'!M231:M235))</f>
        <v>3818.9389999999999</v>
      </c>
      <c r="R51" s="18">
        <f>IF($Q51="","",INDEX('GA Runs'!E231:E235,MATCH($Q51,'GA Runs'!M231:M235,0)))</f>
        <v>11.585000000000001</v>
      </c>
      <c r="S51" s="18">
        <f>IF($Q51="","",INDEX('GA Runs'!F231:F235,MATCH($Q51,'GA Runs'!M231:M235,0)))</f>
        <v>807.35299999999995</v>
      </c>
      <c r="T51" s="18">
        <f>IF($Q51="","",INDEX('GA Runs'!G231:G235,MATCH($Q51,'GA Runs'!M231:M235,0)))</f>
        <v>3000</v>
      </c>
      <c r="U51" s="18">
        <f>IF($Q51="","",INDEX('GA Runs'!H231:H235,MATCH($Q51,'GA Runs'!M231:M235,0)))</f>
        <v>3</v>
      </c>
      <c r="V51" s="18">
        <f>IF($Q51="","",INDEX('GA Runs'!I231:I235,MATCH($Q51,'GA Runs'!M231:M235,0)))</f>
        <v>41.954000000000001</v>
      </c>
      <c r="W51" s="18">
        <f t="shared" si="6"/>
        <v>0.30306771024845719</v>
      </c>
      <c r="X51" s="18">
        <f>IF(COUNT('GA Runs'!M231:M235)=0,"",AVERAGE('GA Runs'!M231:M235))</f>
        <v>3847.5443999999998</v>
      </c>
      <c r="Y51" s="18">
        <f>IF(COUNT('GA Runs'!M231:M235)&lt;2,"",_xlfn.STDEV.S('GA Runs'!M231:M235))</f>
        <v>43.357516030095638</v>
      </c>
      <c r="Z51" s="22">
        <f>COUNT('GA Runs'!M231:M235)</f>
        <v>5</v>
      </c>
      <c r="AA51" s="18">
        <f>IF($Z51=0,"",AVERAGEIF('GA Runs'!M231:M235,"&gt;=0",'GA Runs'!I231:I235))</f>
        <v>42.341599999999993</v>
      </c>
      <c r="AB51" s="20">
        <v>4156.49</v>
      </c>
      <c r="AC51" s="20">
        <v>314.22000000000003</v>
      </c>
      <c r="AD51" s="20">
        <v>842.28</v>
      </c>
      <c r="AE51" s="20">
        <v>3000</v>
      </c>
      <c r="AF51" s="20">
        <v>1</v>
      </c>
      <c r="AG51" s="20">
        <v>5.66</v>
      </c>
      <c r="AH51" s="18">
        <f t="shared" si="7"/>
        <v>96.313092737572404</v>
      </c>
      <c r="AI51" s="18">
        <f t="shared" si="8"/>
        <v>92.5</v>
      </c>
      <c r="AJ51" s="18">
        <f t="shared" si="9"/>
        <v>97.5</v>
      </c>
      <c r="AK51" s="18">
        <f t="shared" si="10"/>
        <v>-5</v>
      </c>
      <c r="AL51" s="10" t="str">
        <f t="shared" si="11"/>
        <v>OK</v>
      </c>
      <c r="AM51" s="11"/>
    </row>
    <row r="52" spans="1:39">
      <c r="A52" s="9" t="s">
        <v>93</v>
      </c>
      <c r="B52" s="9">
        <v>42</v>
      </c>
      <c r="C52" s="9">
        <v>40</v>
      </c>
      <c r="D52" s="9">
        <v>8</v>
      </c>
      <c r="E52" s="9">
        <v>4</v>
      </c>
      <c r="F52" s="15">
        <v>0.25</v>
      </c>
      <c r="G52" s="9">
        <v>10</v>
      </c>
      <c r="H52" s="9">
        <v>30</v>
      </c>
      <c r="I52" s="15">
        <v>0.1</v>
      </c>
      <c r="J52" s="9">
        <v>4</v>
      </c>
      <c r="K52" s="17">
        <v>3845.3</v>
      </c>
      <c r="L52" s="17">
        <v>3.1</v>
      </c>
      <c r="M52" s="17">
        <v>842.2</v>
      </c>
      <c r="N52" s="17">
        <v>3000</v>
      </c>
      <c r="O52" s="9" t="s">
        <v>71</v>
      </c>
      <c r="P52" s="17">
        <v>10</v>
      </c>
      <c r="Q52" s="18">
        <f>IF(COUNT('GA Runs'!M236:M240)=0,"",MIN('GA Runs'!M236:M240))</f>
        <v>3860.377</v>
      </c>
      <c r="R52" s="18">
        <f>IF($Q52="","",INDEX('GA Runs'!E236:E240,MATCH($Q52,'GA Runs'!M236:M240,0)))</f>
        <v>15.414</v>
      </c>
      <c r="S52" s="18">
        <f>IF($Q52="","",INDEX('GA Runs'!F236:F240,MATCH($Q52,'GA Runs'!M236:M240,0)))</f>
        <v>844.96299999999997</v>
      </c>
      <c r="T52" s="18">
        <f>IF($Q52="","",INDEX('GA Runs'!G236:G240,MATCH($Q52,'GA Runs'!M236:M240,0)))</f>
        <v>3000</v>
      </c>
      <c r="U52" s="18">
        <f>IF($Q52="","",INDEX('GA Runs'!H236:H240,MATCH($Q52,'GA Runs'!M236:M240,0)))</f>
        <v>3</v>
      </c>
      <c r="V52" s="18">
        <f>IF($Q52="","",INDEX('GA Runs'!I236:I240,MATCH($Q52,'GA Runs'!M236:M240,0)))</f>
        <v>43.345999999999997</v>
      </c>
      <c r="W52" s="18">
        <f t="shared" si="6"/>
        <v>0.39208904376771048</v>
      </c>
      <c r="X52" s="18">
        <f>IF(COUNT('GA Runs'!M236:M240)=0,"",AVERAGE('GA Runs'!M236:M240))</f>
        <v>3911.8969999999999</v>
      </c>
      <c r="Y52" s="18">
        <f>IF(COUNT('GA Runs'!M236:M240)&lt;2,"",_xlfn.STDEV.S('GA Runs'!M236:M240))</f>
        <v>56.362587826500601</v>
      </c>
      <c r="Z52" s="22">
        <f>COUNT('GA Runs'!M236:M240)</f>
        <v>5</v>
      </c>
      <c r="AA52" s="18">
        <f>IF($Z52=0,"",AVERAGEIF('GA Runs'!M236:M240,"&gt;=0",'GA Runs'!I236:I240))</f>
        <v>43.536800000000007</v>
      </c>
      <c r="AB52" s="20">
        <v>8579.2000000000007</v>
      </c>
      <c r="AC52" s="20">
        <v>682.36</v>
      </c>
      <c r="AD52" s="20">
        <v>896.84</v>
      </c>
      <c r="AE52" s="20">
        <v>7000</v>
      </c>
      <c r="AF52" s="20">
        <v>2</v>
      </c>
      <c r="AG52" s="20">
        <v>4.5</v>
      </c>
      <c r="AH52" s="18">
        <f t="shared" si="7"/>
        <v>97.741075092326639</v>
      </c>
      <c r="AI52" s="18">
        <f t="shared" si="8"/>
        <v>92.5</v>
      </c>
      <c r="AJ52" s="18">
        <f t="shared" si="9"/>
        <v>95</v>
      </c>
      <c r="AK52" s="18">
        <f t="shared" si="10"/>
        <v>-2.5</v>
      </c>
      <c r="AL52" s="10" t="str">
        <f t="shared" si="11"/>
        <v>OK</v>
      </c>
      <c r="AM52" s="11"/>
    </row>
    <row r="53" spans="1:39">
      <c r="A53" s="9" t="s">
        <v>94</v>
      </c>
      <c r="B53" s="9">
        <v>42</v>
      </c>
      <c r="C53" s="9">
        <v>40</v>
      </c>
      <c r="D53" s="9">
        <v>8</v>
      </c>
      <c r="E53" s="9">
        <v>4</v>
      </c>
      <c r="F53" s="15">
        <v>0.5</v>
      </c>
      <c r="G53" s="9">
        <v>20</v>
      </c>
      <c r="H53" s="9">
        <v>20</v>
      </c>
      <c r="I53" s="15">
        <v>0.1</v>
      </c>
      <c r="J53" s="9">
        <v>4</v>
      </c>
      <c r="K53" s="17">
        <v>4136.3</v>
      </c>
      <c r="L53" s="17">
        <v>243.8</v>
      </c>
      <c r="M53" s="17">
        <v>892.5</v>
      </c>
      <c r="N53" s="17">
        <v>3000</v>
      </c>
      <c r="O53" s="9" t="s">
        <v>74</v>
      </c>
      <c r="P53" s="17">
        <v>85</v>
      </c>
      <c r="Q53" s="18">
        <f>IF(COUNT('GA Runs'!M241:M245)=0,"",MIN('GA Runs'!M241:M245))</f>
        <v>4244.9979999999996</v>
      </c>
      <c r="R53" s="18">
        <f>IF($Q53="","",INDEX('GA Runs'!E241:E245,MATCH($Q53,'GA Runs'!M241:M245,0)))</f>
        <v>253.72300000000001</v>
      </c>
      <c r="S53" s="18">
        <f>IF($Q53="","",INDEX('GA Runs'!F241:F245,MATCH($Q53,'GA Runs'!M241:M245,0)))</f>
        <v>991.27499999999998</v>
      </c>
      <c r="T53" s="18">
        <f>IF($Q53="","",INDEX('GA Runs'!G241:G245,MATCH($Q53,'GA Runs'!M241:M245,0)))</f>
        <v>3000</v>
      </c>
      <c r="U53" s="18">
        <f>IF($Q53="","",INDEX('GA Runs'!H241:H245,MATCH($Q53,'GA Runs'!M241:M245,0)))</f>
        <v>3</v>
      </c>
      <c r="V53" s="18">
        <f>IF($Q53="","",INDEX('GA Runs'!I241:I245,MATCH($Q53,'GA Runs'!M241:M245,0)))</f>
        <v>40.78</v>
      </c>
      <c r="W53" s="18">
        <f t="shared" si="6"/>
        <v>2.6279041655585766</v>
      </c>
      <c r="X53" s="18">
        <f>IF(COUNT('GA Runs'!M241:M245)=0,"",AVERAGE('GA Runs'!M241:M245))</f>
        <v>4331.9264000000003</v>
      </c>
      <c r="Y53" s="18">
        <f>IF(COUNT('GA Runs'!M241:M245)&lt;2,"",_xlfn.STDEV.S('GA Runs'!M241:M245))</f>
        <v>82.243951806804787</v>
      </c>
      <c r="Z53" s="22">
        <f>COUNT('GA Runs'!M241:M245)</f>
        <v>5</v>
      </c>
      <c r="AA53" s="18">
        <f>IF($Z53=0,"",AVERAGEIF('GA Runs'!M241:M245,"&gt;=0",'GA Runs'!I241:I245))</f>
        <v>43.438599999999994</v>
      </c>
      <c r="AB53" s="20">
        <v>8118.27</v>
      </c>
      <c r="AC53" s="20">
        <v>1241.1300000000001</v>
      </c>
      <c r="AD53" s="20">
        <v>877.15</v>
      </c>
      <c r="AE53" s="20">
        <v>6000</v>
      </c>
      <c r="AF53" s="20">
        <v>2</v>
      </c>
      <c r="AG53" s="20">
        <v>3.44</v>
      </c>
      <c r="AH53" s="18">
        <f t="shared" si="7"/>
        <v>79.557097161457705</v>
      </c>
      <c r="AI53" s="18">
        <f t="shared" si="8"/>
        <v>92.5</v>
      </c>
      <c r="AJ53" s="18">
        <f t="shared" si="9"/>
        <v>95</v>
      </c>
      <c r="AK53" s="18">
        <f t="shared" si="10"/>
        <v>-2.5</v>
      </c>
      <c r="AL53" s="10" t="str">
        <f t="shared" si="11"/>
        <v>OK</v>
      </c>
      <c r="AM53" s="11"/>
    </row>
    <row r="54" spans="1:39">
      <c r="A54" s="9" t="s">
        <v>95</v>
      </c>
      <c r="B54" s="9">
        <v>42</v>
      </c>
      <c r="C54" s="9">
        <v>40</v>
      </c>
      <c r="D54" s="9">
        <v>8</v>
      </c>
      <c r="E54" s="9">
        <v>4</v>
      </c>
      <c r="F54" s="15">
        <v>0.75</v>
      </c>
      <c r="G54" s="9">
        <v>30</v>
      </c>
      <c r="H54" s="9">
        <v>10</v>
      </c>
      <c r="I54" s="15">
        <v>0.1</v>
      </c>
      <c r="J54" s="9">
        <v>4</v>
      </c>
      <c r="K54" s="17">
        <v>4374.3</v>
      </c>
      <c r="L54" s="17">
        <v>462.7</v>
      </c>
      <c r="M54" s="17">
        <v>911.5</v>
      </c>
      <c r="N54" s="17">
        <v>3000</v>
      </c>
      <c r="O54" s="9" t="s">
        <v>74</v>
      </c>
      <c r="P54" s="17">
        <v>205</v>
      </c>
      <c r="Q54" s="18">
        <f>IF(COUNT('GA Runs'!M246:M250)=0,"",MIN('GA Runs'!M246:M250))</f>
        <v>4374.2709999999997</v>
      </c>
      <c r="R54" s="18">
        <f>IF($Q54="","",INDEX('GA Runs'!E246:E250,MATCH($Q54,'GA Runs'!M246:M250,0)))</f>
        <v>462.74200000000002</v>
      </c>
      <c r="S54" s="18">
        <f>IF($Q54="","",INDEX('GA Runs'!F246:F250,MATCH($Q54,'GA Runs'!M246:M250,0)))</f>
        <v>911.529</v>
      </c>
      <c r="T54" s="18">
        <f>IF($Q54="","",INDEX('GA Runs'!G246:G250,MATCH($Q54,'GA Runs'!M246:M250,0)))</f>
        <v>3000</v>
      </c>
      <c r="U54" s="18">
        <f>IF($Q54="","",INDEX('GA Runs'!H246:H250,MATCH($Q54,'GA Runs'!M246:M250,0)))</f>
        <v>3</v>
      </c>
      <c r="V54" s="18">
        <f>IF($Q54="","",INDEX('GA Runs'!I246:I250,MATCH($Q54,'GA Runs'!M246:M250,0)))</f>
        <v>45.436999999999998</v>
      </c>
      <c r="W54" s="18">
        <f t="shared" si="6"/>
        <v>-6.6296321698217108E-4</v>
      </c>
      <c r="X54" s="18">
        <f>IF(COUNT('GA Runs'!M246:M250)=0,"",AVERAGE('GA Runs'!M246:M250))</f>
        <v>4533.4600000000009</v>
      </c>
      <c r="Y54" s="18">
        <f>IF(COUNT('GA Runs'!M246:M250)&lt;2,"",_xlfn.STDEV.S('GA Runs'!M246:M250))</f>
        <v>175.45594777892251</v>
      </c>
      <c r="Z54" s="22">
        <f>COUNT('GA Runs'!M246:M250)</f>
        <v>5</v>
      </c>
      <c r="AA54" s="18">
        <f>IF($Z54=0,"",AVERAGEIF('GA Runs'!M246:M250,"&gt;=0",'GA Runs'!I246:I250))</f>
        <v>46.317</v>
      </c>
      <c r="AB54" s="20">
        <v>6044.92</v>
      </c>
      <c r="AC54" s="20">
        <v>2059.48</v>
      </c>
      <c r="AD54" s="20">
        <v>985.44</v>
      </c>
      <c r="AE54" s="20">
        <v>3000</v>
      </c>
      <c r="AF54" s="20">
        <v>1</v>
      </c>
      <c r="AG54" s="20">
        <v>1.46</v>
      </c>
      <c r="AH54" s="18">
        <f t="shared" si="7"/>
        <v>77.531124361489319</v>
      </c>
      <c r="AI54" s="18">
        <f t="shared" si="8"/>
        <v>92.5</v>
      </c>
      <c r="AJ54" s="18">
        <f t="shared" si="9"/>
        <v>97.5</v>
      </c>
      <c r="AK54" s="18">
        <f t="shared" si="10"/>
        <v>-5</v>
      </c>
      <c r="AL54" s="10" t="str">
        <f t="shared" si="11"/>
        <v>OK</v>
      </c>
      <c r="AM54" s="11"/>
    </row>
    <row r="55" spans="1:39">
      <c r="A55" s="9" t="s">
        <v>96</v>
      </c>
      <c r="B55" s="9">
        <v>42</v>
      </c>
      <c r="C55" s="9">
        <v>40</v>
      </c>
      <c r="D55" s="9">
        <v>8</v>
      </c>
      <c r="E55" s="9">
        <v>4</v>
      </c>
      <c r="F55" s="15">
        <v>0.9</v>
      </c>
      <c r="G55" s="9">
        <v>36</v>
      </c>
      <c r="H55" s="9">
        <v>4</v>
      </c>
      <c r="I55" s="15">
        <v>0.1</v>
      </c>
      <c r="J55" s="9">
        <v>4</v>
      </c>
      <c r="K55" s="17">
        <v>5089.3</v>
      </c>
      <c r="L55" s="17">
        <v>1195.0999999999999</v>
      </c>
      <c r="M55" s="17">
        <v>894.2</v>
      </c>
      <c r="N55" s="17">
        <v>3000</v>
      </c>
      <c r="O55" s="9" t="s">
        <v>74</v>
      </c>
      <c r="P55" s="17">
        <v>185</v>
      </c>
      <c r="Q55" s="18">
        <f>IF(COUNT('GA Runs'!M251:M255)=0,"",MIN('GA Runs'!M251:M255))</f>
        <v>5118.9579999999996</v>
      </c>
      <c r="R55" s="18">
        <f>IF($Q55="","",INDEX('GA Runs'!E251:E255,MATCH($Q55,'GA Runs'!M251:M255,0)))</f>
        <v>1188.421</v>
      </c>
      <c r="S55" s="18">
        <f>IF($Q55="","",INDEX('GA Runs'!F251:F255,MATCH($Q55,'GA Runs'!M251:M255,0)))</f>
        <v>930.53800000000001</v>
      </c>
      <c r="T55" s="18">
        <f>IF($Q55="","",INDEX('GA Runs'!G251:G255,MATCH($Q55,'GA Runs'!M251:M255,0)))</f>
        <v>3000</v>
      </c>
      <c r="U55" s="18">
        <f>IF($Q55="","",INDEX('GA Runs'!H251:H255,MATCH($Q55,'GA Runs'!M251:M255,0)))</f>
        <v>3</v>
      </c>
      <c r="V55" s="18">
        <f>IF($Q55="","",INDEX('GA Runs'!I251:I255,MATCH($Q55,'GA Runs'!M251:M255,0)))</f>
        <v>44.622999999999998</v>
      </c>
      <c r="W55" s="18">
        <f t="shared" si="6"/>
        <v>0.58275204841529182</v>
      </c>
      <c r="X55" s="18">
        <f>IF(COUNT('GA Runs'!M251:M255)=0,"",AVERAGE('GA Runs'!M251:M255))</f>
        <v>5733.6118000000006</v>
      </c>
      <c r="Y55" s="18">
        <f>IF(COUNT('GA Runs'!M251:M255)&lt;2,"",_xlfn.STDEV.S('GA Runs'!M251:M255))</f>
        <v>1329.6627610481519</v>
      </c>
      <c r="Z55" s="22">
        <f>COUNT('GA Runs'!M251:M255)</f>
        <v>5</v>
      </c>
      <c r="AA55" s="18">
        <f>IF($Z55=0,"",AVERAGEIF('GA Runs'!M251:M255,"&gt;=0",'GA Runs'!I251:I255))</f>
        <v>43.249399999999994</v>
      </c>
      <c r="AB55" s="20">
        <v>14731.68</v>
      </c>
      <c r="AC55" s="20">
        <v>2752.08</v>
      </c>
      <c r="AD55" s="20">
        <v>979.6</v>
      </c>
      <c r="AE55" s="20">
        <v>11000</v>
      </c>
      <c r="AF55" s="20">
        <v>3</v>
      </c>
      <c r="AG55" s="20">
        <v>1.0900000000000001</v>
      </c>
      <c r="AH55" s="18">
        <f>IF(OR($AC55="",$R55="",$AC55=0),"",100*($AC55-$R55)/$AC55)</f>
        <v>56.817352693235662</v>
      </c>
      <c r="AI55" s="18">
        <f>IF($U55="","",100*($C55-$U55)/$C55)</f>
        <v>92.5</v>
      </c>
      <c r="AJ55" s="18">
        <f t="shared" si="9"/>
        <v>92.5</v>
      </c>
      <c r="AK55" s="18">
        <f t="shared" si="10"/>
        <v>0</v>
      </c>
      <c r="AL55" s="10" t="str">
        <f t="shared" si="11"/>
        <v>OK</v>
      </c>
      <c r="AM55" s="11"/>
    </row>
    <row r="56" spans="1:39">
      <c r="A56" s="9" t="s">
        <v>97</v>
      </c>
      <c r="B56" s="9">
        <v>10</v>
      </c>
      <c r="C56" s="9">
        <v>60</v>
      </c>
      <c r="D56" s="9">
        <v>10</v>
      </c>
      <c r="E56" s="9">
        <v>5</v>
      </c>
      <c r="F56" s="15">
        <v>0.1</v>
      </c>
      <c r="G56" s="9">
        <v>6</v>
      </c>
      <c r="H56" s="9">
        <v>54</v>
      </c>
      <c r="I56" s="15">
        <v>0.1</v>
      </c>
      <c r="J56" s="9">
        <v>6</v>
      </c>
      <c r="K56" s="17">
        <v>11128.7</v>
      </c>
      <c r="L56" s="17">
        <v>0</v>
      </c>
      <c r="M56" s="17">
        <v>1128.7</v>
      </c>
      <c r="N56" s="17">
        <v>10000</v>
      </c>
      <c r="O56" s="9" t="s">
        <v>82</v>
      </c>
      <c r="P56" s="17">
        <v>490</v>
      </c>
      <c r="Q56" s="18">
        <f>IF(COUNT('GA Runs'!M256:M260)=0,"",MIN('GA Runs'!M256:M260))</f>
        <v>11392.957</v>
      </c>
      <c r="R56" s="18">
        <f>IF($Q56="","",INDEX('GA Runs'!E256:E260,MATCH($Q56,'GA Runs'!M256:M260,0)))</f>
        <v>5.1959999999999997</v>
      </c>
      <c r="S56" s="18">
        <f>IF($Q56="","",INDEX('GA Runs'!F256:F260,MATCH($Q56,'GA Runs'!M256:M260,0)))</f>
        <v>1387.761</v>
      </c>
      <c r="T56" s="18">
        <f>IF($Q56="","",INDEX('GA Runs'!G256:G260,MATCH($Q56,'GA Runs'!M256:M260,0)))</f>
        <v>10000</v>
      </c>
      <c r="U56" s="18">
        <f>IF($Q56="","",INDEX('GA Runs'!H256:H260,MATCH($Q56,'GA Runs'!M256:M260,0)))</f>
        <v>10</v>
      </c>
      <c r="V56" s="18">
        <f>IF($Q56="","",INDEX('GA Runs'!I256:I260,MATCH($Q56,'GA Runs'!M256:M260,0)))</f>
        <v>70.177999999999997</v>
      </c>
      <c r="W56" s="18">
        <f t="shared" si="6"/>
        <v>2.3745540808899475</v>
      </c>
      <c r="X56" s="18">
        <f>IF(COUNT('GA Runs'!M256:M260)=0,"",AVERAGE('GA Runs'!M256:M260))</f>
        <v>13720.104600000001</v>
      </c>
      <c r="Y56" s="18">
        <f>IF(COUNT('GA Runs'!M256:M260)&lt;2,"",_xlfn.STDEV.S('GA Runs'!M256:M260))</f>
        <v>1461.8626523142657</v>
      </c>
      <c r="Z56" s="22">
        <f>COUNT('GA Runs'!M256:M260)</f>
        <v>5</v>
      </c>
      <c r="AA56" s="18">
        <f>IF($Z56=0,"",AVERAGEIF('GA Runs'!M256:M260,"&gt;=0",'GA Runs'!I256:I260))</f>
        <v>70.869400000000013</v>
      </c>
      <c r="AB56" s="20">
        <v>11444.2</v>
      </c>
      <c r="AC56" s="20">
        <v>291.41000000000003</v>
      </c>
      <c r="AD56" s="20">
        <v>1152.79</v>
      </c>
      <c r="AE56" s="20">
        <v>10000</v>
      </c>
      <c r="AF56" s="20">
        <v>2</v>
      </c>
      <c r="AG56" s="20">
        <v>576.01</v>
      </c>
      <c r="AH56" s="18">
        <f t="shared" si="7"/>
        <v>98.216945197488073</v>
      </c>
      <c r="AI56" s="18">
        <f t="shared" si="8"/>
        <v>83.333333333333329</v>
      </c>
      <c r="AJ56" s="18">
        <f t="shared" si="9"/>
        <v>96.666666666666671</v>
      </c>
      <c r="AK56" s="18">
        <f t="shared" si="10"/>
        <v>-13.333333333333343</v>
      </c>
      <c r="AL56" s="10" t="str">
        <f t="shared" si="11"/>
        <v>OK</v>
      </c>
      <c r="AM56" s="11"/>
    </row>
    <row r="57" spans="1:39">
      <c r="A57" s="9" t="s">
        <v>98</v>
      </c>
      <c r="B57" s="9">
        <v>10</v>
      </c>
      <c r="C57" s="9">
        <v>60</v>
      </c>
      <c r="D57" s="9">
        <v>10</v>
      </c>
      <c r="E57" s="9">
        <v>5</v>
      </c>
      <c r="F57" s="15">
        <v>0.25</v>
      </c>
      <c r="G57" s="9">
        <v>15</v>
      </c>
      <c r="H57" s="9">
        <v>45</v>
      </c>
      <c r="I57" s="15">
        <v>0.1</v>
      </c>
      <c r="J57" s="9">
        <v>6</v>
      </c>
      <c r="K57" s="17">
        <v>14231.4</v>
      </c>
      <c r="L57" s="17">
        <v>45.1</v>
      </c>
      <c r="M57" s="17">
        <v>1186.3</v>
      </c>
      <c r="N57" s="17">
        <v>13000</v>
      </c>
      <c r="O57" s="9" t="s">
        <v>99</v>
      </c>
      <c r="P57" s="17">
        <v>1000</v>
      </c>
      <c r="Q57" s="18">
        <f>IF(COUNT('GA Runs'!M261:M265)=0,"",MIN('GA Runs'!M261:M265))</f>
        <v>14499.904</v>
      </c>
      <c r="R57" s="18">
        <f>IF($Q57="","",INDEX('GA Runs'!E261:E265,MATCH($Q57,'GA Runs'!M261:M265,0)))</f>
        <v>120.753</v>
      </c>
      <c r="S57" s="18">
        <f>IF($Q57="","",INDEX('GA Runs'!F261:F265,MATCH($Q57,'GA Runs'!M261:M265,0)))</f>
        <v>1379.1510000000001</v>
      </c>
      <c r="T57" s="18">
        <f>IF($Q57="","",INDEX('GA Runs'!G261:G265,MATCH($Q57,'GA Runs'!M261:M265,0)))</f>
        <v>13000</v>
      </c>
      <c r="U57" s="18">
        <f>IF($Q57="","",INDEX('GA Runs'!H261:H265,MATCH($Q57,'GA Runs'!M261:M265,0)))</f>
        <v>13</v>
      </c>
      <c r="V57" s="18">
        <f>IF($Q57="","",INDEX('GA Runs'!I261:I265,MATCH($Q57,'GA Runs'!M261:M265,0)))</f>
        <v>62.289000000000001</v>
      </c>
      <c r="W57" s="18">
        <f t="shared" si="6"/>
        <v>1.8867012381072896</v>
      </c>
      <c r="X57" s="18">
        <f>IF(COUNT('GA Runs'!M261:M265)=0,"",AVERAGE('GA Runs'!M261:M265))</f>
        <v>18035.881600000001</v>
      </c>
      <c r="Y57" s="18">
        <f>IF(COUNT('GA Runs'!M261:M265)&lt;2,"",_xlfn.STDEV.S('GA Runs'!M261:M265))</f>
        <v>2782.3880474482467</v>
      </c>
      <c r="Z57" s="22">
        <f>COUNT('GA Runs'!M261:M265)</f>
        <v>5</v>
      </c>
      <c r="AA57" s="18">
        <f>IF($Z57=0,"",AVERAGEIF('GA Runs'!M261:M265,"&gt;=0",'GA Runs'!I261:I265))</f>
        <v>67.899000000000001</v>
      </c>
      <c r="AB57" s="20">
        <v>18771.39</v>
      </c>
      <c r="AC57" s="20">
        <v>629.29</v>
      </c>
      <c r="AD57" s="20">
        <v>1142.0899999999999</v>
      </c>
      <c r="AE57" s="20">
        <v>17000</v>
      </c>
      <c r="AF57" s="20">
        <v>4</v>
      </c>
      <c r="AG57" s="20">
        <v>45.96</v>
      </c>
      <c r="AH57" s="18">
        <f t="shared" si="7"/>
        <v>80.811231705572951</v>
      </c>
      <c r="AI57" s="18">
        <f t="shared" si="8"/>
        <v>78.333333333333329</v>
      </c>
      <c r="AJ57" s="18">
        <f t="shared" si="9"/>
        <v>93.333333333333329</v>
      </c>
      <c r="AK57" s="18">
        <f t="shared" si="10"/>
        <v>-15</v>
      </c>
      <c r="AL57" s="10" t="str">
        <f t="shared" si="11"/>
        <v>OK</v>
      </c>
      <c r="AM57" s="11"/>
    </row>
    <row r="58" spans="1:39">
      <c r="A58" s="9" t="s">
        <v>100</v>
      </c>
      <c r="B58" s="9">
        <v>10</v>
      </c>
      <c r="C58" s="9">
        <v>60</v>
      </c>
      <c r="D58" s="9">
        <v>10</v>
      </c>
      <c r="E58" s="9">
        <v>5</v>
      </c>
      <c r="F58" s="15">
        <v>0.5</v>
      </c>
      <c r="G58" s="9">
        <v>30</v>
      </c>
      <c r="H58" s="9">
        <v>30</v>
      </c>
      <c r="I58" s="15">
        <v>0.1</v>
      </c>
      <c r="J58" s="9">
        <v>6</v>
      </c>
      <c r="K58" s="17">
        <v>14863.8</v>
      </c>
      <c r="L58" s="17">
        <v>547.6</v>
      </c>
      <c r="M58" s="17">
        <v>1316.2</v>
      </c>
      <c r="N58" s="17">
        <v>13000</v>
      </c>
      <c r="O58" s="9" t="s">
        <v>99</v>
      </c>
      <c r="P58" s="17">
        <v>625</v>
      </c>
      <c r="Q58" s="18">
        <f>IF(COUNT('GA Runs'!M266:M270)=0,"",MIN('GA Runs'!M266:M270))</f>
        <v>16440.091</v>
      </c>
      <c r="R58" s="18">
        <f>IF($Q58="","",INDEX('GA Runs'!E266:E270,MATCH($Q58,'GA Runs'!M266:M270,0)))</f>
        <v>1031.075</v>
      </c>
      <c r="S58" s="18">
        <f>IF($Q58="","",INDEX('GA Runs'!F266:F270,MATCH($Q58,'GA Runs'!M266:M270,0)))</f>
        <v>1409.0160000000001</v>
      </c>
      <c r="T58" s="18">
        <f>IF($Q58="","",INDEX('GA Runs'!G266:G270,MATCH($Q58,'GA Runs'!M266:M270,0)))</f>
        <v>14000</v>
      </c>
      <c r="U58" s="18">
        <f>IF($Q58="","",INDEX('GA Runs'!H266:H270,MATCH($Q58,'GA Runs'!M266:M270,0)))</f>
        <v>14</v>
      </c>
      <c r="V58" s="18">
        <f>IF($Q58="","",INDEX('GA Runs'!I266:I270,MATCH($Q58,'GA Runs'!M266:M270,0)))</f>
        <v>59.176000000000002</v>
      </c>
      <c r="W58" s="18">
        <f t="shared" si="6"/>
        <v>10.604899150957367</v>
      </c>
      <c r="X58" s="18">
        <f>IF(COUNT('GA Runs'!M266:M270)=0,"",AVERAGE('GA Runs'!M266:M270))</f>
        <v>17529.000999999997</v>
      </c>
      <c r="Y58" s="18">
        <f>IF(COUNT('GA Runs'!M266:M270)&lt;2,"",_xlfn.STDEV.S('GA Runs'!M266:M270))</f>
        <v>812.24879174179159</v>
      </c>
      <c r="Z58" s="22">
        <f>COUNT('GA Runs'!M266:M270)</f>
        <v>5</v>
      </c>
      <c r="AA58" s="18">
        <f>IF($Z58=0,"",AVERAGEIF('GA Runs'!M266:M270,"&gt;=0",'GA Runs'!I266:I270))</f>
        <v>65.611400000000003</v>
      </c>
      <c r="AB58" s="20">
        <v>22167.89</v>
      </c>
      <c r="AC58" s="20">
        <v>1837.93</v>
      </c>
      <c r="AD58" s="20">
        <v>1329.95</v>
      </c>
      <c r="AE58" s="20">
        <v>19000</v>
      </c>
      <c r="AF58" s="20">
        <v>5</v>
      </c>
      <c r="AG58" s="20">
        <v>18.32</v>
      </c>
      <c r="AH58" s="18">
        <f t="shared" si="7"/>
        <v>43.900202945705225</v>
      </c>
      <c r="AI58" s="18">
        <f t="shared" si="8"/>
        <v>76.666666666666671</v>
      </c>
      <c r="AJ58" s="18">
        <f t="shared" si="9"/>
        <v>91.666666666666671</v>
      </c>
      <c r="AK58" s="18">
        <f t="shared" si="10"/>
        <v>-15</v>
      </c>
      <c r="AL58" s="10" t="str">
        <f t="shared" si="11"/>
        <v>OK</v>
      </c>
      <c r="AM58" s="11"/>
    </row>
    <row r="59" spans="1:39">
      <c r="A59" s="9" t="s">
        <v>101</v>
      </c>
      <c r="B59" s="9">
        <v>10</v>
      </c>
      <c r="C59" s="9">
        <v>60</v>
      </c>
      <c r="D59" s="9">
        <v>10</v>
      </c>
      <c r="E59" s="9">
        <v>5</v>
      </c>
      <c r="F59" s="15">
        <v>0.75</v>
      </c>
      <c r="G59" s="9">
        <v>45</v>
      </c>
      <c r="H59" s="9">
        <v>15</v>
      </c>
      <c r="I59" s="15">
        <v>0.1</v>
      </c>
      <c r="J59" s="9">
        <v>6</v>
      </c>
      <c r="K59" s="17">
        <v>14464.9</v>
      </c>
      <c r="L59" s="17">
        <v>1194.0999999999999</v>
      </c>
      <c r="M59" s="17">
        <v>1270.8</v>
      </c>
      <c r="N59" s="17">
        <v>12000</v>
      </c>
      <c r="O59" s="9" t="s">
        <v>102</v>
      </c>
      <c r="P59" s="17">
        <v>10998</v>
      </c>
      <c r="Q59" s="18">
        <f>IF(COUNT('GA Runs'!M271:M275)=0,"",MIN('GA Runs'!M271:M275))</f>
        <v>16667.028999999999</v>
      </c>
      <c r="R59" s="18">
        <f>IF($Q59="","",INDEX('GA Runs'!E271:E275,MATCH($Q59,'GA Runs'!M271:M275,0)))</f>
        <v>1320.269</v>
      </c>
      <c r="S59" s="18">
        <f>IF($Q59="","",INDEX('GA Runs'!F271:F275,MATCH($Q59,'GA Runs'!M271:M275,0)))</f>
        <v>1346.76</v>
      </c>
      <c r="T59" s="18">
        <f>IF($Q59="","",INDEX('GA Runs'!G271:G275,MATCH($Q59,'GA Runs'!M271:M275,0)))</f>
        <v>14000</v>
      </c>
      <c r="U59" s="18">
        <f>IF($Q59="","",INDEX('GA Runs'!H271:H275,MATCH($Q59,'GA Runs'!M271:M275,0)))</f>
        <v>14</v>
      </c>
      <c r="V59" s="18">
        <f>IF($Q59="","",INDEX('GA Runs'!I271:I275,MATCH($Q59,'GA Runs'!M271:M275,0)))</f>
        <v>65.963999999999999</v>
      </c>
      <c r="W59" s="18">
        <f t="shared" si="6"/>
        <v>15.223949007597696</v>
      </c>
      <c r="X59" s="18">
        <f>IF(COUNT('GA Runs'!M271:M275)=0,"",AVERAGE('GA Runs'!M271:M275))</f>
        <v>17058.289799999999</v>
      </c>
      <c r="Y59" s="18">
        <f>IF(COUNT('GA Runs'!M271:M275)&lt;2,"",_xlfn.STDEV.S('GA Runs'!M271:M275))</f>
        <v>487.55718053752418</v>
      </c>
      <c r="Z59" s="22">
        <f>COUNT('GA Runs'!M271:M275)</f>
        <v>5</v>
      </c>
      <c r="AA59" s="18">
        <f>IF($Z59=0,"",AVERAGEIF('GA Runs'!M271:M275,"&gt;=0",'GA Runs'!I271:I275))</f>
        <v>67.22999999999999</v>
      </c>
      <c r="AB59" s="20">
        <v>21034.16</v>
      </c>
      <c r="AC59" s="20">
        <v>2781.55</v>
      </c>
      <c r="AD59" s="20">
        <v>1252.6099999999999</v>
      </c>
      <c r="AE59" s="20">
        <v>17000</v>
      </c>
      <c r="AF59" s="20">
        <v>4</v>
      </c>
      <c r="AG59" s="20">
        <v>8.69</v>
      </c>
      <c r="AH59" s="18">
        <f t="shared" si="7"/>
        <v>52.534773777210546</v>
      </c>
      <c r="AI59" s="18">
        <f t="shared" si="8"/>
        <v>76.666666666666671</v>
      </c>
      <c r="AJ59" s="18">
        <f t="shared" si="9"/>
        <v>93.333333333333329</v>
      </c>
      <c r="AK59" s="18">
        <f t="shared" si="10"/>
        <v>-16.666666666666657</v>
      </c>
      <c r="AL59" s="10" t="str">
        <f t="shared" si="11"/>
        <v>OK</v>
      </c>
      <c r="AM59" s="11"/>
    </row>
    <row r="60" spans="1:39">
      <c r="A60" s="9" t="s">
        <v>103</v>
      </c>
      <c r="B60" s="9">
        <v>10</v>
      </c>
      <c r="C60" s="9">
        <v>60</v>
      </c>
      <c r="D60" s="9">
        <v>10</v>
      </c>
      <c r="E60" s="9">
        <v>5</v>
      </c>
      <c r="F60" s="15">
        <v>0.9</v>
      </c>
      <c r="G60" s="9">
        <v>54</v>
      </c>
      <c r="H60" s="9">
        <v>6</v>
      </c>
      <c r="I60" s="15">
        <v>0.1</v>
      </c>
      <c r="J60" s="9">
        <v>6</v>
      </c>
      <c r="K60" s="17" t="s">
        <v>69</v>
      </c>
      <c r="L60" s="17" t="s">
        <v>69</v>
      </c>
      <c r="M60" s="17" t="s">
        <v>69</v>
      </c>
      <c r="N60" s="17" t="s">
        <v>69</v>
      </c>
      <c r="O60" s="9" t="s">
        <v>69</v>
      </c>
      <c r="P60" s="17">
        <v>21600</v>
      </c>
      <c r="Q60" s="18">
        <f>IF(COUNT('GA Runs'!M276:M280)=0,"",MIN('GA Runs'!M276:M280))</f>
        <v>16591.124</v>
      </c>
      <c r="R60" s="18">
        <f>IF($Q60="","",INDEX('GA Runs'!E276:E280,MATCH($Q60,'GA Runs'!M276:M280,0)))</f>
        <v>2199.942</v>
      </c>
      <c r="S60" s="18">
        <f>IF($Q60="","",INDEX('GA Runs'!F276:F280,MATCH($Q60,'GA Runs'!M276:M280,0)))</f>
        <v>1391.182</v>
      </c>
      <c r="T60" s="18">
        <f>IF($Q60="","",INDEX('GA Runs'!G276:G280,MATCH($Q60,'GA Runs'!M276:M280,0)))</f>
        <v>13000</v>
      </c>
      <c r="U60" s="18">
        <f>IF($Q60="","",INDEX('GA Runs'!H276:H280,MATCH($Q60,'GA Runs'!M276:M280,0)))</f>
        <v>13</v>
      </c>
      <c r="V60" s="18">
        <f>IF($Q60="","",INDEX('GA Runs'!I276:I280,MATCH($Q60,'GA Runs'!M276:M280,0)))</f>
        <v>65.128</v>
      </c>
      <c r="W60" s="18" t="str">
        <f t="shared" si="6"/>
        <v/>
      </c>
      <c r="X60" s="18">
        <f>IF(COUNT('GA Runs'!M276:M280)=0,"",AVERAGE('GA Runs'!M276:M280))</f>
        <v>16938.683400000002</v>
      </c>
      <c r="Y60" s="18">
        <f>IF(COUNT('GA Runs'!M276:M280)&lt;2,"",_xlfn.STDEV.S('GA Runs'!M276:M280))</f>
        <v>298.96577019083662</v>
      </c>
      <c r="Z60" s="22">
        <f>COUNT('GA Runs'!M276:M280)</f>
        <v>5</v>
      </c>
      <c r="AA60" s="18">
        <f>IF($Z60=0,"",AVERAGEIF('GA Runs'!M276:M280,"&gt;=0",'GA Runs'!I276:I280))</f>
        <v>60.789199999999994</v>
      </c>
      <c r="AB60" s="20">
        <v>23807.68</v>
      </c>
      <c r="AC60" s="20">
        <v>3596.67</v>
      </c>
      <c r="AD60" s="20">
        <v>1211.02</v>
      </c>
      <c r="AE60" s="20">
        <v>19000</v>
      </c>
      <c r="AF60" s="20">
        <v>5</v>
      </c>
      <c r="AG60" s="20">
        <v>6.9</v>
      </c>
      <c r="AH60" s="18">
        <f t="shared" si="7"/>
        <v>38.833921377273981</v>
      </c>
      <c r="AI60" s="18">
        <f t="shared" si="8"/>
        <v>78.333333333333329</v>
      </c>
      <c r="AJ60" s="18">
        <f t="shared" si="9"/>
        <v>91.666666666666671</v>
      </c>
      <c r="AK60" s="18">
        <f t="shared" si="10"/>
        <v>-13.333333333333343</v>
      </c>
      <c r="AL60" s="10" t="str">
        <f t="shared" si="11"/>
        <v>OK</v>
      </c>
      <c r="AM60" s="11"/>
    </row>
    <row r="61" spans="1:39">
      <c r="A61" s="9" t="s">
        <v>104</v>
      </c>
      <c r="B61" s="9">
        <v>13</v>
      </c>
      <c r="C61" s="9">
        <v>60</v>
      </c>
      <c r="D61" s="9">
        <v>10</v>
      </c>
      <c r="E61" s="9">
        <v>5</v>
      </c>
      <c r="F61" s="15">
        <v>0.1</v>
      </c>
      <c r="G61" s="9">
        <v>6</v>
      </c>
      <c r="H61" s="9">
        <v>54</v>
      </c>
      <c r="I61" s="15">
        <v>0.1</v>
      </c>
      <c r="J61" s="9">
        <v>6</v>
      </c>
      <c r="K61" s="17">
        <v>1191.8</v>
      </c>
      <c r="L61" s="17">
        <v>0.3</v>
      </c>
      <c r="M61" s="17">
        <v>1191.5</v>
      </c>
      <c r="N61" s="17">
        <v>0</v>
      </c>
      <c r="O61" s="9">
        <v>0</v>
      </c>
      <c r="P61" s="17">
        <v>83</v>
      </c>
      <c r="Q61" s="18">
        <f>IF(COUNT('GA Runs'!M281:M285)=0,"",MIN('GA Runs'!M281:M285))</f>
        <v>1833.3230000000001</v>
      </c>
      <c r="R61" s="18">
        <f>IF($Q61="","",INDEX('GA Runs'!E281:E285,MATCH($Q61,'GA Runs'!M281:M285,0)))</f>
        <v>403.685</v>
      </c>
      <c r="S61" s="18">
        <f>IF($Q61="","",INDEX('GA Runs'!F281:F285,MATCH($Q61,'GA Runs'!M281:M285,0)))</f>
        <v>1429.6379999999999</v>
      </c>
      <c r="T61" s="18">
        <f>IF($Q61="","",INDEX('GA Runs'!G281:G285,MATCH($Q61,'GA Runs'!M281:M285,0)))</f>
        <v>0</v>
      </c>
      <c r="U61" s="18">
        <f>IF($Q61="","",INDEX('GA Runs'!H281:H285,MATCH($Q61,'GA Runs'!M281:M285,0)))</f>
        <v>0</v>
      </c>
      <c r="V61" s="18">
        <f>IF($Q61="","",INDEX('GA Runs'!I281:I285,MATCH($Q61,'GA Runs'!M281:M285,0)))</f>
        <v>79.210999999999999</v>
      </c>
      <c r="W61" s="18">
        <f t="shared" si="6"/>
        <v>53.828075180399409</v>
      </c>
      <c r="X61" s="18">
        <f>IF(COUNT('GA Runs'!M281:M285)=0,"",AVERAGE('GA Runs'!M281:M285))</f>
        <v>3870.0356000000006</v>
      </c>
      <c r="Y61" s="18">
        <f>IF(COUNT('GA Runs'!M281:M285)&lt;2,"",_xlfn.STDEV.S('GA Runs'!M281:M285))</f>
        <v>1140.09405397046</v>
      </c>
      <c r="Z61" s="22">
        <f>COUNT('GA Runs'!M281:M285)</f>
        <v>5</v>
      </c>
      <c r="AA61" s="18">
        <f>IF($Z61=0,"",AVERAGEIF('GA Runs'!M281:M285,"&gt;=0",'GA Runs'!I281:I285))</f>
        <v>73.628200000000007</v>
      </c>
      <c r="AB61" s="20">
        <v>1777.61</v>
      </c>
      <c r="AC61" s="20">
        <v>576.27</v>
      </c>
      <c r="AD61" s="20">
        <v>1201.3399999999999</v>
      </c>
      <c r="AE61" s="20">
        <v>0</v>
      </c>
      <c r="AF61" s="20">
        <v>0</v>
      </c>
      <c r="AG61" s="20">
        <v>276.02</v>
      </c>
      <c r="AH61" s="18">
        <f t="shared" si="7"/>
        <v>29.948635188366559</v>
      </c>
      <c r="AI61" s="18">
        <f t="shared" si="8"/>
        <v>100</v>
      </c>
      <c r="AJ61" s="18">
        <f t="shared" si="9"/>
        <v>100</v>
      </c>
      <c r="AK61" s="18">
        <f t="shared" si="10"/>
        <v>0</v>
      </c>
      <c r="AL61" s="10" t="str">
        <f t="shared" si="11"/>
        <v>OK</v>
      </c>
      <c r="AM61" s="11"/>
    </row>
    <row r="62" spans="1:39">
      <c r="A62" s="9" t="s">
        <v>105</v>
      </c>
      <c r="B62" s="9">
        <v>13</v>
      </c>
      <c r="C62" s="9">
        <v>60</v>
      </c>
      <c r="D62" s="9">
        <v>10</v>
      </c>
      <c r="E62" s="9">
        <v>5</v>
      </c>
      <c r="F62" s="15">
        <v>0.25</v>
      </c>
      <c r="G62" s="9">
        <v>15</v>
      </c>
      <c r="H62" s="9">
        <v>45</v>
      </c>
      <c r="I62" s="15">
        <v>0.1</v>
      </c>
      <c r="J62" s="9">
        <v>6</v>
      </c>
      <c r="K62" s="17">
        <v>1549.1</v>
      </c>
      <c r="L62" s="17">
        <v>315.10000000000002</v>
      </c>
      <c r="M62" s="17">
        <v>1234</v>
      </c>
      <c r="N62" s="17">
        <v>0</v>
      </c>
      <c r="O62" s="9">
        <v>0</v>
      </c>
      <c r="P62" s="17">
        <v>64</v>
      </c>
      <c r="Q62" s="18">
        <f>IF(COUNT('GA Runs'!M286:M290)=0,"",MIN('GA Runs'!M286:M290))</f>
        <v>2133.9059999999999</v>
      </c>
      <c r="R62" s="18">
        <f>IF($Q62="","",INDEX('GA Runs'!E286:E290,MATCH($Q62,'GA Runs'!M286:M290,0)))</f>
        <v>790.46299999999997</v>
      </c>
      <c r="S62" s="18">
        <f>IF($Q62="","",INDEX('GA Runs'!F286:F290,MATCH($Q62,'GA Runs'!M286:M290,0)))</f>
        <v>1343.443</v>
      </c>
      <c r="T62" s="18">
        <f>IF($Q62="","",INDEX('GA Runs'!G286:G290,MATCH($Q62,'GA Runs'!M286:M290,0)))</f>
        <v>0</v>
      </c>
      <c r="U62" s="18">
        <f>IF($Q62="","",INDEX('GA Runs'!H286:H290,MATCH($Q62,'GA Runs'!M286:M290,0)))</f>
        <v>0</v>
      </c>
      <c r="V62" s="18">
        <f>IF($Q62="","",INDEX('GA Runs'!I286:I290,MATCH($Q62,'GA Runs'!M286:M290,0)))</f>
        <v>68.418999999999997</v>
      </c>
      <c r="W62" s="18">
        <f t="shared" si="6"/>
        <v>37.751339487444326</v>
      </c>
      <c r="X62" s="18">
        <f>IF(COUNT('GA Runs'!M286:M290)=0,"",AVERAGE('GA Runs'!M286:M290))</f>
        <v>4022.3887999999997</v>
      </c>
      <c r="Y62" s="18">
        <f>IF(COUNT('GA Runs'!M286:M290)&lt;2,"",_xlfn.STDEV.S('GA Runs'!M286:M290))</f>
        <v>1429.6267895547769</v>
      </c>
      <c r="Z62" s="22">
        <f>COUNT('GA Runs'!M286:M290)</f>
        <v>5</v>
      </c>
      <c r="AA62" s="18">
        <f>IF($Z62=0,"",AVERAGEIF('GA Runs'!M286:M290,"&gt;=0",'GA Runs'!I286:I290))</f>
        <v>72.116799999999984</v>
      </c>
      <c r="AB62" s="20">
        <v>9154.59</v>
      </c>
      <c r="AC62" s="20">
        <v>929.24</v>
      </c>
      <c r="AD62" s="20">
        <v>1225.3499999999999</v>
      </c>
      <c r="AE62" s="20">
        <v>7000</v>
      </c>
      <c r="AF62" s="20">
        <v>2</v>
      </c>
      <c r="AG62" s="20">
        <v>96.91</v>
      </c>
      <c r="AH62" s="18">
        <f t="shared" si="7"/>
        <v>14.934462571563863</v>
      </c>
      <c r="AI62" s="18">
        <f t="shared" si="8"/>
        <v>100</v>
      </c>
      <c r="AJ62" s="18">
        <f t="shared" si="9"/>
        <v>96.666666666666671</v>
      </c>
      <c r="AK62" s="18">
        <f t="shared" si="10"/>
        <v>3.3333333333333286</v>
      </c>
      <c r="AL62" s="10" t="str">
        <f t="shared" si="11"/>
        <v>OK</v>
      </c>
      <c r="AM62" s="11"/>
    </row>
    <row r="63" spans="1:39">
      <c r="A63" s="9" t="s">
        <v>106</v>
      </c>
      <c r="B63" s="9">
        <v>13</v>
      </c>
      <c r="C63" s="9">
        <v>60</v>
      </c>
      <c r="D63" s="9">
        <v>10</v>
      </c>
      <c r="E63" s="9">
        <v>5</v>
      </c>
      <c r="F63" s="15">
        <v>0.5</v>
      </c>
      <c r="G63" s="9">
        <v>30</v>
      </c>
      <c r="H63" s="9">
        <v>30</v>
      </c>
      <c r="I63" s="15">
        <v>0.1</v>
      </c>
      <c r="J63" s="9">
        <v>6</v>
      </c>
      <c r="K63" s="17">
        <v>2053.6999999999998</v>
      </c>
      <c r="L63" s="17">
        <v>735</v>
      </c>
      <c r="M63" s="17">
        <v>1318.7</v>
      </c>
      <c r="N63" s="17">
        <v>0</v>
      </c>
      <c r="O63" s="9">
        <v>0</v>
      </c>
      <c r="P63" s="17">
        <v>6512</v>
      </c>
      <c r="Q63" s="18">
        <f>IF(COUNT('GA Runs'!M291:M295)=0,"",MIN('GA Runs'!M291:M295))</f>
        <v>2795.665</v>
      </c>
      <c r="R63" s="18">
        <f>IF($Q63="","",INDEX('GA Runs'!E291:E295,MATCH($Q63,'GA Runs'!M291:M295,0)))</f>
        <v>1322.664</v>
      </c>
      <c r="S63" s="18">
        <f>IF($Q63="","",INDEX('GA Runs'!F291:F295,MATCH($Q63,'GA Runs'!M291:M295,0)))</f>
        <v>1473.001</v>
      </c>
      <c r="T63" s="18">
        <f>IF($Q63="","",INDEX('GA Runs'!G291:G295,MATCH($Q63,'GA Runs'!M291:M295,0)))</f>
        <v>0</v>
      </c>
      <c r="U63" s="18">
        <f>IF($Q63="","",INDEX('GA Runs'!H291:H295,MATCH($Q63,'GA Runs'!M291:M295,0)))</f>
        <v>0</v>
      </c>
      <c r="V63" s="18">
        <f>IF($Q63="","",INDEX('GA Runs'!I291:I295,MATCH($Q63,'GA Runs'!M291:M295,0)))</f>
        <v>75.744</v>
      </c>
      <c r="W63" s="18">
        <f t="shared" si="6"/>
        <v>36.12820762526173</v>
      </c>
      <c r="X63" s="18">
        <f>IF(COUNT('GA Runs'!M291:M295)=0,"",AVERAGE('GA Runs'!M291:M295))</f>
        <v>5581.6916000000001</v>
      </c>
      <c r="Y63" s="18">
        <f>IF(COUNT('GA Runs'!M291:M295)&lt;2,"",_xlfn.STDEV.S('GA Runs'!M291:M295))</f>
        <v>1957.1945113816105</v>
      </c>
      <c r="Z63" s="22">
        <f>COUNT('GA Runs'!M291:M295)</f>
        <v>5</v>
      </c>
      <c r="AA63" s="18">
        <f>IF($Z63=0,"",AVERAGEIF('GA Runs'!M291:M295,"&gt;=0",'GA Runs'!I291:I295))</f>
        <v>75.176999999999992</v>
      </c>
      <c r="AB63" s="20">
        <v>13903.21</v>
      </c>
      <c r="AC63" s="20">
        <v>2566.73</v>
      </c>
      <c r="AD63" s="20">
        <v>1336.48</v>
      </c>
      <c r="AE63" s="20">
        <v>10000</v>
      </c>
      <c r="AF63" s="20">
        <v>3</v>
      </c>
      <c r="AG63" s="20">
        <v>8.5299999999999994</v>
      </c>
      <c r="AH63" s="18">
        <f t="shared" si="7"/>
        <v>48.468907910064559</v>
      </c>
      <c r="AI63" s="18">
        <f t="shared" si="8"/>
        <v>100</v>
      </c>
      <c r="AJ63" s="18">
        <f t="shared" si="9"/>
        <v>95</v>
      </c>
      <c r="AK63" s="18">
        <f t="shared" si="10"/>
        <v>5</v>
      </c>
      <c r="AL63" s="10" t="str">
        <f t="shared" si="11"/>
        <v>OK</v>
      </c>
      <c r="AM63" s="11"/>
    </row>
    <row r="64" spans="1:39">
      <c r="A64" s="9" t="s">
        <v>107</v>
      </c>
      <c r="B64" s="9">
        <v>13</v>
      </c>
      <c r="C64" s="9">
        <v>60</v>
      </c>
      <c r="D64" s="9">
        <v>10</v>
      </c>
      <c r="E64" s="9">
        <v>5</v>
      </c>
      <c r="F64" s="15">
        <v>0.75</v>
      </c>
      <c r="G64" s="9">
        <v>45</v>
      </c>
      <c r="H64" s="9">
        <v>15</v>
      </c>
      <c r="I64" s="15">
        <v>0.1</v>
      </c>
      <c r="J64" s="9">
        <v>6</v>
      </c>
      <c r="K64" s="17">
        <v>2635.2</v>
      </c>
      <c r="L64" s="17">
        <v>1273.4000000000001</v>
      </c>
      <c r="M64" s="17">
        <v>1361.8</v>
      </c>
      <c r="N64" s="17">
        <v>0</v>
      </c>
      <c r="O64" s="9">
        <v>0</v>
      </c>
      <c r="P64" s="17">
        <v>5912</v>
      </c>
      <c r="Q64" s="18">
        <f>IF(COUNT('GA Runs'!M296:M300)=0,"",MIN('GA Runs'!M296:M300))</f>
        <v>3557.9009999999998</v>
      </c>
      <c r="R64" s="18">
        <f>IF($Q64="","",INDEX('GA Runs'!E296:E300,MATCH($Q64,'GA Runs'!M296:M300,0)))</f>
        <v>2099.5340000000001</v>
      </c>
      <c r="S64" s="18">
        <f>IF($Q64="","",INDEX('GA Runs'!F296:F300,MATCH($Q64,'GA Runs'!M296:M300,0)))</f>
        <v>1458.367</v>
      </c>
      <c r="T64" s="18">
        <f>IF($Q64="","",INDEX('GA Runs'!G296:G300,MATCH($Q64,'GA Runs'!M296:M300,0)))</f>
        <v>0</v>
      </c>
      <c r="U64" s="18">
        <f>IF($Q64="","",INDEX('GA Runs'!H296:H300,MATCH($Q64,'GA Runs'!M296:M300,0)))</f>
        <v>0</v>
      </c>
      <c r="V64" s="18">
        <f>IF($Q64="","",INDEX('GA Runs'!I296:I300,MATCH($Q64,'GA Runs'!M296:M300,0)))</f>
        <v>71.332999999999998</v>
      </c>
      <c r="W64" s="18">
        <f t="shared" si="6"/>
        <v>35.014458105646632</v>
      </c>
      <c r="X64" s="18">
        <f>IF(COUNT('GA Runs'!M296:M300)=0,"",AVERAGE('GA Runs'!M296:M300))</f>
        <v>4732.6822000000002</v>
      </c>
      <c r="Y64" s="18">
        <f>IF(COUNT('GA Runs'!M296:M300)&lt;2,"",_xlfn.STDEV.S('GA Runs'!M296:M300))</f>
        <v>1418.0917986092074</v>
      </c>
      <c r="Z64" s="22">
        <f>COUNT('GA Runs'!M296:M300)</f>
        <v>5</v>
      </c>
      <c r="AA64" s="18">
        <f>IF($Z64=0,"",AVERAGEIF('GA Runs'!M296:M300,"&gt;=0",'GA Runs'!I296:I300))</f>
        <v>68.727000000000004</v>
      </c>
      <c r="AB64" s="20">
        <v>17903.04</v>
      </c>
      <c r="AC64" s="20">
        <v>3578.6</v>
      </c>
      <c r="AD64" s="20">
        <v>1324.44</v>
      </c>
      <c r="AE64" s="20">
        <v>13000</v>
      </c>
      <c r="AF64" s="20">
        <v>4</v>
      </c>
      <c r="AG64" s="20">
        <v>4.18</v>
      </c>
      <c r="AH64" s="18">
        <f t="shared" si="7"/>
        <v>41.330855641871118</v>
      </c>
      <c r="AI64" s="18">
        <f t="shared" si="8"/>
        <v>100</v>
      </c>
      <c r="AJ64" s="18">
        <f t="shared" si="9"/>
        <v>93.333333333333329</v>
      </c>
      <c r="AK64" s="18">
        <f t="shared" si="10"/>
        <v>6.6666666666666714</v>
      </c>
      <c r="AL64" s="10" t="str">
        <f t="shared" si="11"/>
        <v>OK</v>
      </c>
      <c r="AM64" s="11"/>
    </row>
    <row r="65" spans="1:39">
      <c r="A65" s="9" t="s">
        <v>108</v>
      </c>
      <c r="B65" s="9">
        <v>13</v>
      </c>
      <c r="C65" s="9">
        <v>60</v>
      </c>
      <c r="D65" s="9">
        <v>10</v>
      </c>
      <c r="E65" s="9">
        <v>5</v>
      </c>
      <c r="F65" s="15">
        <v>0.9</v>
      </c>
      <c r="G65" s="9">
        <v>54</v>
      </c>
      <c r="H65" s="9">
        <v>6</v>
      </c>
      <c r="I65" s="15">
        <v>0.1</v>
      </c>
      <c r="J65" s="9">
        <v>6</v>
      </c>
      <c r="K65" s="17" t="s">
        <v>69</v>
      </c>
      <c r="L65" s="17" t="s">
        <v>69</v>
      </c>
      <c r="M65" s="17" t="s">
        <v>69</v>
      </c>
      <c r="N65" s="17" t="s">
        <v>69</v>
      </c>
      <c r="O65" s="9" t="s">
        <v>69</v>
      </c>
      <c r="P65" s="17">
        <v>21600</v>
      </c>
      <c r="Q65" s="18">
        <f>IF(COUNT('GA Runs'!M301:M305)=0,"",MIN('GA Runs'!M301:M305))</f>
        <v>3777.7420000000002</v>
      </c>
      <c r="R65" s="18">
        <f>IF($Q65="","",INDEX('GA Runs'!E301:E305,MATCH($Q65,'GA Runs'!M301:M305,0)))</f>
        <v>2370.0390000000002</v>
      </c>
      <c r="S65" s="18">
        <f>IF($Q65="","",INDEX('GA Runs'!F301:F305,MATCH($Q65,'GA Runs'!M301:M305,0)))</f>
        <v>1407.704</v>
      </c>
      <c r="T65" s="18">
        <f>IF($Q65="","",INDEX('GA Runs'!G301:G305,MATCH($Q65,'GA Runs'!M301:M305,0)))</f>
        <v>0</v>
      </c>
      <c r="U65" s="18">
        <f>IF($Q65="","",INDEX('GA Runs'!H301:H305,MATCH($Q65,'GA Runs'!M301:M305,0)))</f>
        <v>0</v>
      </c>
      <c r="V65" s="18">
        <f>IF($Q65="","",INDEX('GA Runs'!I301:I305,MATCH($Q65,'GA Runs'!M301:M305,0)))</f>
        <v>68.623999999999995</v>
      </c>
      <c r="W65" s="18" t="str">
        <f t="shared" si="6"/>
        <v/>
      </c>
      <c r="X65" s="18">
        <f>IF(COUNT('GA Runs'!M301:M305)=0,"",AVERAGE('GA Runs'!M301:M305))</f>
        <v>4140.9176000000007</v>
      </c>
      <c r="Y65" s="18">
        <f>IF(COUNT('GA Runs'!M301:M305)&lt;2,"",_xlfn.STDEV.S('GA Runs'!M301:M305))</f>
        <v>220.50928999318816</v>
      </c>
      <c r="Z65" s="22">
        <f>COUNT('GA Runs'!M301:M305)</f>
        <v>5</v>
      </c>
      <c r="AA65" s="18">
        <f>IF($Z65=0,"",AVERAGEIF('GA Runs'!M301:M305,"&gt;=0",'GA Runs'!I301:I305))</f>
        <v>68.593599999999995</v>
      </c>
      <c r="AB65" s="20">
        <v>15723.4</v>
      </c>
      <c r="AC65" s="20">
        <v>4431.03</v>
      </c>
      <c r="AD65" s="20">
        <v>1292.3699999999999</v>
      </c>
      <c r="AE65" s="20">
        <v>10000</v>
      </c>
      <c r="AF65" s="20">
        <v>3</v>
      </c>
      <c r="AG65" s="20">
        <v>4.29</v>
      </c>
      <c r="AH65" s="18">
        <f t="shared" si="7"/>
        <v>46.512684409719625</v>
      </c>
      <c r="AI65" s="18">
        <f t="shared" si="8"/>
        <v>100</v>
      </c>
      <c r="AJ65" s="18">
        <f t="shared" si="9"/>
        <v>95</v>
      </c>
      <c r="AK65" s="18">
        <f t="shared" si="10"/>
        <v>5</v>
      </c>
      <c r="AL65" s="10" t="str">
        <f t="shared" si="11"/>
        <v>OK</v>
      </c>
      <c r="AM65" s="11"/>
    </row>
    <row r="66" spans="1:39">
      <c r="A66" s="9" t="s">
        <v>109</v>
      </c>
      <c r="B66" s="9">
        <v>27</v>
      </c>
      <c r="C66" s="9">
        <v>60</v>
      </c>
      <c r="D66" s="9">
        <v>10</v>
      </c>
      <c r="E66" s="9">
        <v>5</v>
      </c>
      <c r="F66" s="15">
        <v>0.1</v>
      </c>
      <c r="G66" s="9">
        <v>6</v>
      </c>
      <c r="H66" s="9">
        <v>54</v>
      </c>
      <c r="I66" s="15">
        <v>0.1</v>
      </c>
      <c r="J66" s="9">
        <v>6</v>
      </c>
      <c r="K66" s="17">
        <v>19090.8</v>
      </c>
      <c r="L66" s="17">
        <v>2.6</v>
      </c>
      <c r="M66" s="17">
        <v>1088.2</v>
      </c>
      <c r="N66" s="17">
        <v>18000</v>
      </c>
      <c r="O66" s="9" t="s">
        <v>63</v>
      </c>
      <c r="P66" s="17">
        <v>535</v>
      </c>
      <c r="Q66" s="18">
        <f>IF(COUNT('GA Runs'!M306:M310)=0,"",MIN('GA Runs'!M306:M310))</f>
        <v>25292.845000000001</v>
      </c>
      <c r="R66" s="18">
        <f>IF($Q66="","",INDEX('GA Runs'!E306:E310,MATCH($Q66,'GA Runs'!M306:M310,0)))</f>
        <v>92.02</v>
      </c>
      <c r="S66" s="18">
        <f>IF($Q66="","",INDEX('GA Runs'!F306:F310,MATCH($Q66,'GA Runs'!M306:M310,0)))</f>
        <v>1200.825</v>
      </c>
      <c r="T66" s="18">
        <f>IF($Q66="","",INDEX('GA Runs'!G306:G310,MATCH($Q66,'GA Runs'!M306:M310,0)))</f>
        <v>24000</v>
      </c>
      <c r="U66" s="18">
        <f>IF($Q66="","",INDEX('GA Runs'!H306:H310,MATCH($Q66,'GA Runs'!M306:M310,0)))</f>
        <v>24</v>
      </c>
      <c r="V66" s="18">
        <f>IF($Q66="","",INDEX('GA Runs'!I306:I310,MATCH($Q66,'GA Runs'!M306:M310,0)))</f>
        <v>67.460999999999999</v>
      </c>
      <c r="W66" s="18">
        <f t="shared" si="6"/>
        <v>32.487088021455371</v>
      </c>
      <c r="X66" s="18">
        <f>IF(COUNT('GA Runs'!M306:M310)=0,"",AVERAGE('GA Runs'!M306:M310))</f>
        <v>29110.517799999994</v>
      </c>
      <c r="Y66" s="18">
        <f>IF(COUNT('GA Runs'!M306:M310)&lt;2,"",_xlfn.STDEV.S('GA Runs'!M306:M310))</f>
        <v>2496.6297598493043</v>
      </c>
      <c r="Z66" s="22">
        <f>COUNT('GA Runs'!M306:M310)</f>
        <v>5</v>
      </c>
      <c r="AA66" s="18">
        <f>IF($Z66=0,"",AVERAGEIF('GA Runs'!M306:M310,"&gt;=0",'GA Runs'!I306:I310))</f>
        <v>70.46459999999999</v>
      </c>
      <c r="AB66" s="20">
        <v>25279.25</v>
      </c>
      <c r="AC66" s="20">
        <v>260.24</v>
      </c>
      <c r="AD66" s="20">
        <v>1019</v>
      </c>
      <c r="AE66" s="20">
        <v>24000</v>
      </c>
      <c r="AF66" s="20">
        <v>6</v>
      </c>
      <c r="AG66" s="20">
        <v>557.21</v>
      </c>
      <c r="AH66" s="18">
        <f t="shared" si="7"/>
        <v>64.640332001229652</v>
      </c>
      <c r="AI66" s="18">
        <f t="shared" si="8"/>
        <v>60</v>
      </c>
      <c r="AJ66" s="18">
        <f t="shared" si="9"/>
        <v>90</v>
      </c>
      <c r="AK66" s="18">
        <f t="shared" si="10"/>
        <v>-30</v>
      </c>
      <c r="AL66" s="10" t="str">
        <f t="shared" si="11"/>
        <v>OK</v>
      </c>
      <c r="AM66" s="11"/>
    </row>
    <row r="67" spans="1:39">
      <c r="A67" s="9" t="s">
        <v>110</v>
      </c>
      <c r="B67" s="9">
        <v>27</v>
      </c>
      <c r="C67" s="9">
        <v>60</v>
      </c>
      <c r="D67" s="9">
        <v>10</v>
      </c>
      <c r="E67" s="9">
        <v>5</v>
      </c>
      <c r="F67" s="15">
        <v>0.25</v>
      </c>
      <c r="G67" s="9">
        <v>15</v>
      </c>
      <c r="H67" s="9">
        <v>45</v>
      </c>
      <c r="I67" s="15">
        <v>0.1</v>
      </c>
      <c r="J67" s="9">
        <v>6</v>
      </c>
      <c r="K67" s="17">
        <v>18790.599999999999</v>
      </c>
      <c r="L67" s="17">
        <v>748.5</v>
      </c>
      <c r="M67" s="17">
        <v>1042.0999999999999</v>
      </c>
      <c r="N67" s="17">
        <v>17000</v>
      </c>
      <c r="O67" s="9" t="s">
        <v>111</v>
      </c>
      <c r="P67" s="17">
        <v>10537</v>
      </c>
      <c r="Q67" s="18">
        <f>IF(COUNT('GA Runs'!M311:M315)=0,"",MIN('GA Runs'!M311:M315))</f>
        <v>21153.404999999999</v>
      </c>
      <c r="R67" s="18">
        <f>IF($Q67="","",INDEX('GA Runs'!E311:E315,MATCH($Q67,'GA Runs'!M311:M315,0)))</f>
        <v>988.56200000000001</v>
      </c>
      <c r="S67" s="18">
        <f>IF($Q67="","",INDEX('GA Runs'!F311:F315,MATCH($Q67,'GA Runs'!M311:M315,0)))</f>
        <v>1164.8440000000001</v>
      </c>
      <c r="T67" s="18">
        <f>IF($Q67="","",INDEX('GA Runs'!G311:G315,MATCH($Q67,'GA Runs'!M311:M315,0)))</f>
        <v>19000</v>
      </c>
      <c r="U67" s="18">
        <f>IF($Q67="","",INDEX('GA Runs'!H311:H315,MATCH($Q67,'GA Runs'!M311:M315,0)))</f>
        <v>19</v>
      </c>
      <c r="V67" s="18">
        <f>IF($Q67="","",INDEX('GA Runs'!I311:I315,MATCH($Q67,'GA Runs'!M311:M315,0)))</f>
        <v>75.790000000000006</v>
      </c>
      <c r="W67" s="18">
        <f t="shared" si="6"/>
        <v>12.574398901578451</v>
      </c>
      <c r="X67" s="18">
        <f>IF(COUNT('GA Runs'!M311:M315)=0,"",AVERAGE('GA Runs'!M311:M315))</f>
        <v>22543.549599999998</v>
      </c>
      <c r="Y67" s="18">
        <f>IF(COUNT('GA Runs'!M311:M315)&lt;2,"",_xlfn.STDEV.S('GA Runs'!M311:M315))</f>
        <v>1705.7913709524389</v>
      </c>
      <c r="Z67" s="22">
        <f>COUNT('GA Runs'!M311:M315)</f>
        <v>5</v>
      </c>
      <c r="AA67" s="18">
        <f>IF($Z67=0,"",AVERAGEIF('GA Runs'!M311:M315,"&gt;=0",'GA Runs'!I311:I315))</f>
        <v>74.396199999999993</v>
      </c>
      <c r="AB67" s="20">
        <v>28086.45</v>
      </c>
      <c r="AC67" s="20">
        <v>818.68</v>
      </c>
      <c r="AD67" s="20">
        <v>1267.77</v>
      </c>
      <c r="AE67" s="20">
        <v>26000</v>
      </c>
      <c r="AF67" s="20">
        <v>7</v>
      </c>
      <c r="AG67" s="20">
        <v>211.57</v>
      </c>
      <c r="AH67" s="18">
        <f t="shared" si="7"/>
        <v>-20.75072067230176</v>
      </c>
      <c r="AI67" s="18">
        <f t="shared" si="8"/>
        <v>68.333333333333329</v>
      </c>
      <c r="AJ67" s="18">
        <f t="shared" si="9"/>
        <v>88.333333333333329</v>
      </c>
      <c r="AK67" s="18">
        <f t="shared" si="10"/>
        <v>-20</v>
      </c>
      <c r="AL67" s="10" t="str">
        <f t="shared" si="11"/>
        <v>OK</v>
      </c>
      <c r="AM67" s="11"/>
    </row>
    <row r="68" spans="1:39">
      <c r="A68" s="9" t="s">
        <v>112</v>
      </c>
      <c r="B68" s="9">
        <v>27</v>
      </c>
      <c r="C68" s="9">
        <v>60</v>
      </c>
      <c r="D68" s="9">
        <v>10</v>
      </c>
      <c r="E68" s="9">
        <v>5</v>
      </c>
      <c r="F68" s="15">
        <v>0.5</v>
      </c>
      <c r="G68" s="9">
        <v>30</v>
      </c>
      <c r="H68" s="9">
        <v>30</v>
      </c>
      <c r="I68" s="15">
        <v>0.1</v>
      </c>
      <c r="J68" s="9">
        <v>6</v>
      </c>
      <c r="K68" s="17">
        <v>18277.7</v>
      </c>
      <c r="L68" s="17">
        <v>1157.4000000000001</v>
      </c>
      <c r="M68" s="17">
        <v>1120.3</v>
      </c>
      <c r="N68" s="17">
        <v>16000</v>
      </c>
      <c r="O68" s="9" t="s">
        <v>111</v>
      </c>
      <c r="P68" s="17">
        <v>11059</v>
      </c>
      <c r="Q68" s="18">
        <f>IF(COUNT('GA Runs'!M316:M320)=0,"",MIN('GA Runs'!M316:M320))</f>
        <v>19600.833999999999</v>
      </c>
      <c r="R68" s="18">
        <f>IF($Q68="","",INDEX('GA Runs'!E316:E320,MATCH($Q68,'GA Runs'!M316:M320,0)))</f>
        <v>1344.3579999999999</v>
      </c>
      <c r="S68" s="18">
        <f>IF($Q68="","",INDEX('GA Runs'!F316:F320,MATCH($Q68,'GA Runs'!M316:M320,0)))</f>
        <v>1256.4760000000001</v>
      </c>
      <c r="T68" s="18">
        <f>IF($Q68="","",INDEX('GA Runs'!G316:G320,MATCH($Q68,'GA Runs'!M316:M320,0)))</f>
        <v>17000</v>
      </c>
      <c r="U68" s="18">
        <f>IF($Q68="","",INDEX('GA Runs'!H316:H320,MATCH($Q68,'GA Runs'!M316:M320,0)))</f>
        <v>17</v>
      </c>
      <c r="V68" s="18">
        <f>IF($Q68="","",INDEX('GA Runs'!I316:I320,MATCH($Q68,'GA Runs'!M316:M320,0)))</f>
        <v>70.626000000000005</v>
      </c>
      <c r="W68" s="18">
        <f t="shared" si="6"/>
        <v>7.2390618075578335</v>
      </c>
      <c r="X68" s="18">
        <f>IF(COUNT('GA Runs'!M316:M320)=0,"",AVERAGE('GA Runs'!M316:M320))</f>
        <v>25612.974800000004</v>
      </c>
      <c r="Y68" s="18">
        <f>IF(COUNT('GA Runs'!M316:M320)&lt;2,"",_xlfn.STDEV.S('GA Runs'!M316:M320))</f>
        <v>3925.4652657416896</v>
      </c>
      <c r="Z68" s="22">
        <f>COUNT('GA Runs'!M316:M320)</f>
        <v>5</v>
      </c>
      <c r="AA68" s="18">
        <f>IF($Z68=0,"",AVERAGEIF('GA Runs'!M316:M320,"&gt;=0",'GA Runs'!I316:I320))</f>
        <v>71.594999999999999</v>
      </c>
      <c r="AB68" s="20">
        <v>34408.36</v>
      </c>
      <c r="AC68" s="20">
        <v>2270.08</v>
      </c>
      <c r="AD68" s="20">
        <v>1138.28</v>
      </c>
      <c r="AE68" s="20">
        <v>31000</v>
      </c>
      <c r="AF68" s="20">
        <v>7</v>
      </c>
      <c r="AG68" s="20">
        <v>12.76</v>
      </c>
      <c r="AH68" s="18">
        <f t="shared" si="7"/>
        <v>40.779267691006481</v>
      </c>
      <c r="AI68" s="18">
        <f t="shared" si="8"/>
        <v>71.666666666666671</v>
      </c>
      <c r="AJ68" s="18">
        <f t="shared" si="9"/>
        <v>88.333333333333329</v>
      </c>
      <c r="AK68" s="18">
        <f t="shared" si="10"/>
        <v>-16.666666666666657</v>
      </c>
      <c r="AL68" s="10" t="str">
        <f t="shared" si="11"/>
        <v>OK</v>
      </c>
      <c r="AM68" s="11"/>
    </row>
    <row r="69" spans="1:39">
      <c r="A69" s="9" t="s">
        <v>113</v>
      </c>
      <c r="B69" s="9">
        <v>27</v>
      </c>
      <c r="C69" s="9">
        <v>60</v>
      </c>
      <c r="D69" s="9">
        <v>10</v>
      </c>
      <c r="E69" s="9">
        <v>5</v>
      </c>
      <c r="F69" s="15">
        <v>0.75</v>
      </c>
      <c r="G69" s="9">
        <v>45</v>
      </c>
      <c r="H69" s="9">
        <v>15</v>
      </c>
      <c r="I69" s="15">
        <v>0.1</v>
      </c>
      <c r="J69" s="9">
        <v>6</v>
      </c>
      <c r="K69" s="17">
        <v>18368</v>
      </c>
      <c r="L69" s="17">
        <v>2137.9</v>
      </c>
      <c r="M69" s="17">
        <v>1230.0999999999999</v>
      </c>
      <c r="N69" s="17">
        <v>15000</v>
      </c>
      <c r="O69" s="9" t="s">
        <v>111</v>
      </c>
      <c r="P69" s="17">
        <v>15023</v>
      </c>
      <c r="Q69" s="18">
        <f>IF(COUNT('GA Runs'!M321:M325)=0,"",MIN('GA Runs'!M321:M325))</f>
        <v>22584.928</v>
      </c>
      <c r="R69" s="18">
        <f>IF($Q69="","",INDEX('GA Runs'!E321:E325,MATCH($Q69,'GA Runs'!M321:M325,0)))</f>
        <v>2464.3939999999998</v>
      </c>
      <c r="S69" s="18">
        <f>IF($Q69="","",INDEX('GA Runs'!F321:F325,MATCH($Q69,'GA Runs'!M321:M325,0)))</f>
        <v>1120.5329999999999</v>
      </c>
      <c r="T69" s="18">
        <f>IF($Q69="","",INDEX('GA Runs'!G321:G325,MATCH($Q69,'GA Runs'!M321:M325,0)))</f>
        <v>19000</v>
      </c>
      <c r="U69" s="18">
        <f>IF($Q69="","",INDEX('GA Runs'!H321:H325,MATCH($Q69,'GA Runs'!M321:M325,0)))</f>
        <v>19</v>
      </c>
      <c r="V69" s="18">
        <f>IF($Q69="","",INDEX('GA Runs'!I321:I325,MATCH($Q69,'GA Runs'!M321:M325,0)))</f>
        <v>65.77</v>
      </c>
      <c r="W69" s="18">
        <f t="shared" si="6"/>
        <v>22.958013937282228</v>
      </c>
      <c r="X69" s="18">
        <f>IF(COUNT('GA Runs'!M321:M325)=0,"",AVERAGE('GA Runs'!M321:M325))</f>
        <v>23976.017</v>
      </c>
      <c r="Y69" s="18">
        <f>IF(COUNT('GA Runs'!M321:M325)&lt;2,"",_xlfn.STDEV.S('GA Runs'!M321:M325))</f>
        <v>1400.1671220598985</v>
      </c>
      <c r="Z69" s="22">
        <f>COUNT('GA Runs'!M321:M325)</f>
        <v>5</v>
      </c>
      <c r="AA69" s="18">
        <f>IF($Z69=0,"",AVERAGEIF('GA Runs'!M321:M325,"&gt;=0",'GA Runs'!I321:I325))</f>
        <v>70.751400000000004</v>
      </c>
      <c r="AB69" s="20">
        <v>30155.25</v>
      </c>
      <c r="AC69" s="20">
        <v>3944.41</v>
      </c>
      <c r="AD69" s="20">
        <v>1210.8399999999999</v>
      </c>
      <c r="AE69" s="20">
        <v>25000</v>
      </c>
      <c r="AF69" s="20">
        <v>6</v>
      </c>
      <c r="AG69" s="20">
        <v>50.53</v>
      </c>
      <c r="AH69" s="18">
        <f t="shared" si="7"/>
        <v>37.521860050045511</v>
      </c>
      <c r="AI69" s="18">
        <f t="shared" si="8"/>
        <v>68.333333333333329</v>
      </c>
      <c r="AJ69" s="18">
        <f t="shared" si="9"/>
        <v>90</v>
      </c>
      <c r="AK69" s="18">
        <f t="shared" si="10"/>
        <v>-21.666666666666671</v>
      </c>
      <c r="AL69" s="10" t="str">
        <f t="shared" si="11"/>
        <v>OK</v>
      </c>
      <c r="AM69" s="11"/>
    </row>
    <row r="70" spans="1:39">
      <c r="A70" s="9" t="s">
        <v>114</v>
      </c>
      <c r="B70" s="9">
        <v>27</v>
      </c>
      <c r="C70" s="9">
        <v>60</v>
      </c>
      <c r="D70" s="9">
        <v>10</v>
      </c>
      <c r="E70" s="9">
        <v>5</v>
      </c>
      <c r="F70" s="15">
        <v>0.9</v>
      </c>
      <c r="G70" s="9">
        <v>54</v>
      </c>
      <c r="H70" s="9">
        <v>6</v>
      </c>
      <c r="I70" s="15">
        <v>0.1</v>
      </c>
      <c r="J70" s="9">
        <v>6</v>
      </c>
      <c r="K70" s="17" t="s">
        <v>69</v>
      </c>
      <c r="L70" s="17" t="s">
        <v>69</v>
      </c>
      <c r="M70" s="17" t="s">
        <v>69</v>
      </c>
      <c r="N70" s="17" t="s">
        <v>69</v>
      </c>
      <c r="O70" s="9" t="s">
        <v>69</v>
      </c>
      <c r="P70" s="17">
        <v>21600</v>
      </c>
      <c r="Q70" s="18">
        <f>IF(COUNT('GA Runs'!M326:M330)=0,"",MIN('GA Runs'!M326:M330))</f>
        <v>20084.794999999998</v>
      </c>
      <c r="R70" s="18">
        <f>IF($Q70="","",INDEX('GA Runs'!E326:E330,MATCH($Q70,'GA Runs'!M326:M330,0)))</f>
        <v>2820.3139999999999</v>
      </c>
      <c r="S70" s="18">
        <f>IF($Q70="","",INDEX('GA Runs'!F326:F330,MATCH($Q70,'GA Runs'!M326:M330,0)))</f>
        <v>1264.482</v>
      </c>
      <c r="T70" s="18">
        <f>IF($Q70="","",INDEX('GA Runs'!G326:G330,MATCH($Q70,'GA Runs'!M326:M330,0)))</f>
        <v>16000</v>
      </c>
      <c r="U70" s="18">
        <f>IF($Q70="","",INDEX('GA Runs'!H326:H330,MATCH($Q70,'GA Runs'!M326:M330,0)))</f>
        <v>16</v>
      </c>
      <c r="V70" s="18">
        <f>IF($Q70="","",INDEX('GA Runs'!I326:I330,MATCH($Q70,'GA Runs'!M326:M330,0)))</f>
        <v>69.165000000000006</v>
      </c>
      <c r="W70" s="18" t="str">
        <f t="shared" ref="W70:W105" si="12">IF(OR($K70="",$Q70="",NOT(ISNUMBER($K70))),"",100*($Q70-$K70)/$K70)</f>
        <v/>
      </c>
      <c r="X70" s="18">
        <f>IF(COUNT('GA Runs'!M326:M330)=0,"",AVERAGE('GA Runs'!M326:M330))</f>
        <v>23601.2546</v>
      </c>
      <c r="Y70" s="18">
        <f>IF(COUNT('GA Runs'!M326:M330)&lt;2,"",_xlfn.STDEV.S('GA Runs'!M326:M330))</f>
        <v>2603.5749401020325</v>
      </c>
      <c r="Z70" s="22">
        <f>COUNT('GA Runs'!M326:M330)</f>
        <v>5</v>
      </c>
      <c r="AA70" s="18">
        <f>IF($Z70=0,"",AVERAGEIF('GA Runs'!M326:M330,"&gt;=0",'GA Runs'!I326:I330))</f>
        <v>65.344000000000008</v>
      </c>
      <c r="AB70" s="20">
        <v>33498.230000000003</v>
      </c>
      <c r="AC70" s="20">
        <v>4245.74</v>
      </c>
      <c r="AD70" s="20">
        <v>1252.49</v>
      </c>
      <c r="AE70" s="20">
        <v>28000</v>
      </c>
      <c r="AF70" s="20">
        <v>7</v>
      </c>
      <c r="AG70" s="20">
        <v>478.66</v>
      </c>
      <c r="AH70" s="18">
        <f t="shared" ref="AH70:AH105" si="13">IF(OR($AC70="",$R70="",$AC70=0),"",100*($AC70-$R70)/$AC70)</f>
        <v>33.573087376994359</v>
      </c>
      <c r="AI70" s="18">
        <f t="shared" ref="AI70:AI105" si="14">IF($U70="","",100*($C70-$U70)/$C70)</f>
        <v>73.333333333333329</v>
      </c>
      <c r="AJ70" s="18">
        <f t="shared" ref="AJ70:AJ105" si="15">IF($AF70="","",100*($C70-$AF70)/$C70)</f>
        <v>88.333333333333329</v>
      </c>
      <c r="AK70" s="18">
        <f t="shared" ref="AK70:AK105" si="16">IF(OR($AI70="",$AJ70=""),"",$AI70-$AJ70)</f>
        <v>-15</v>
      </c>
      <c r="AL70" s="10" t="str">
        <f t="shared" ref="AL70:AL105" si="17">IF($Q70="","",IF(ABS($Q70-SUM($R70:$T70))&lt;0.05,"OK","CHECK"))</f>
        <v>OK</v>
      </c>
      <c r="AM70" s="11"/>
    </row>
    <row r="71" spans="1:39">
      <c r="A71" s="9" t="s">
        <v>115</v>
      </c>
      <c r="B71" s="9">
        <v>64</v>
      </c>
      <c r="C71" s="9">
        <v>60</v>
      </c>
      <c r="D71" s="9">
        <v>10</v>
      </c>
      <c r="E71" s="9">
        <v>5</v>
      </c>
      <c r="F71" s="15">
        <v>0.1</v>
      </c>
      <c r="G71" s="9">
        <v>6</v>
      </c>
      <c r="H71" s="9">
        <v>54</v>
      </c>
      <c r="I71" s="15">
        <v>0.1</v>
      </c>
      <c r="J71" s="9">
        <v>6</v>
      </c>
      <c r="K71" s="17">
        <v>10698.4</v>
      </c>
      <c r="L71" s="17">
        <v>428.1</v>
      </c>
      <c r="M71" s="17">
        <v>1270.3</v>
      </c>
      <c r="N71" s="17">
        <v>9000</v>
      </c>
      <c r="O71" s="9" t="s">
        <v>78</v>
      </c>
      <c r="P71" s="17">
        <v>5240</v>
      </c>
      <c r="Q71" s="18">
        <f>IF(COUNT('GA Runs'!M331:M335)=0,"",MIN('GA Runs'!M331:M335))</f>
        <v>14605.217000000001</v>
      </c>
      <c r="R71" s="18">
        <f>IF($Q71="","",INDEX('GA Runs'!E331:E335,MATCH($Q71,'GA Runs'!M331:M335,0)))</f>
        <v>286.03800000000001</v>
      </c>
      <c r="S71" s="18">
        <f>IF($Q71="","",INDEX('GA Runs'!F331:F335,MATCH($Q71,'GA Runs'!M331:M335,0)))</f>
        <v>1319.1790000000001</v>
      </c>
      <c r="T71" s="18">
        <f>IF($Q71="","",INDEX('GA Runs'!G331:G335,MATCH($Q71,'GA Runs'!M331:M335,0)))</f>
        <v>13000</v>
      </c>
      <c r="U71" s="18">
        <f>IF($Q71="","",INDEX('GA Runs'!H331:H335,MATCH($Q71,'GA Runs'!M331:M335,0)))</f>
        <v>13</v>
      </c>
      <c r="V71" s="18">
        <f>IF($Q71="","",INDEX('GA Runs'!I331:I335,MATCH($Q71,'GA Runs'!M331:M335,0)))</f>
        <v>69.578000000000003</v>
      </c>
      <c r="W71" s="18">
        <f t="shared" si="12"/>
        <v>36.517769012188744</v>
      </c>
      <c r="X71" s="18">
        <f>IF(COUNT('GA Runs'!M331:M335)=0,"",AVERAGE('GA Runs'!M331:M335))</f>
        <v>17214.317000000003</v>
      </c>
      <c r="Y71" s="18">
        <f>IF(COUNT('GA Runs'!M331:M335)&lt;2,"",_xlfn.STDEV.S('GA Runs'!M331:M335))</f>
        <v>2164.5788640450191</v>
      </c>
      <c r="Z71" s="22">
        <f>COUNT('GA Runs'!M331:M335)</f>
        <v>5</v>
      </c>
      <c r="AA71" s="18">
        <f>IF($Z71=0,"",AVERAGEIF('GA Runs'!M331:M335,"&gt;=0",'GA Runs'!I331:I335))</f>
        <v>67.219200000000015</v>
      </c>
      <c r="AB71" s="20">
        <v>14093.13</v>
      </c>
      <c r="AC71" s="20">
        <v>816.69</v>
      </c>
      <c r="AD71" s="20">
        <v>1276.44</v>
      </c>
      <c r="AE71" s="20">
        <v>12000</v>
      </c>
      <c r="AF71" s="20">
        <v>4</v>
      </c>
      <c r="AG71" s="20">
        <v>781.94</v>
      </c>
      <c r="AH71" s="18">
        <f t="shared" si="13"/>
        <v>64.975939462954116</v>
      </c>
      <c r="AI71" s="18">
        <f t="shared" si="14"/>
        <v>78.333333333333329</v>
      </c>
      <c r="AJ71" s="18">
        <f t="shared" si="15"/>
        <v>93.333333333333329</v>
      </c>
      <c r="AK71" s="18">
        <f t="shared" si="16"/>
        <v>-15</v>
      </c>
      <c r="AL71" s="10" t="str">
        <f t="shared" si="17"/>
        <v>OK</v>
      </c>
      <c r="AM71" s="11"/>
    </row>
    <row r="72" spans="1:39">
      <c r="A72" s="9" t="s">
        <v>116</v>
      </c>
      <c r="B72" s="9">
        <v>64</v>
      </c>
      <c r="C72" s="9">
        <v>60</v>
      </c>
      <c r="D72" s="9">
        <v>10</v>
      </c>
      <c r="E72" s="9">
        <v>5</v>
      </c>
      <c r="F72" s="15">
        <v>0.25</v>
      </c>
      <c r="G72" s="9">
        <v>15</v>
      </c>
      <c r="H72" s="9">
        <v>45</v>
      </c>
      <c r="I72" s="15">
        <v>0.1</v>
      </c>
      <c r="J72" s="9">
        <v>6</v>
      </c>
      <c r="K72" s="17">
        <v>10766.4</v>
      </c>
      <c r="L72" s="17">
        <v>512.79999999999995</v>
      </c>
      <c r="M72" s="17">
        <v>1253.9000000000001</v>
      </c>
      <c r="N72" s="17">
        <v>9000</v>
      </c>
      <c r="O72" s="9" t="s">
        <v>80</v>
      </c>
      <c r="P72" s="17">
        <v>9582</v>
      </c>
      <c r="Q72" s="18">
        <f>IF(COUNT('GA Runs'!M336:M340)=0,"",MIN('GA Runs'!M336:M340))</f>
        <v>13970.39</v>
      </c>
      <c r="R72" s="18">
        <f>IF($Q72="","",INDEX('GA Runs'!E336:E340,MATCH($Q72,'GA Runs'!M336:M340,0)))</f>
        <v>581.19799999999998</v>
      </c>
      <c r="S72" s="18">
        <f>IF($Q72="","",INDEX('GA Runs'!F336:F340,MATCH($Q72,'GA Runs'!M336:M340,0)))</f>
        <v>1389.192</v>
      </c>
      <c r="T72" s="18">
        <f>IF($Q72="","",INDEX('GA Runs'!G336:G340,MATCH($Q72,'GA Runs'!M336:M340,0)))</f>
        <v>12000</v>
      </c>
      <c r="U72" s="18">
        <f>IF($Q72="","",INDEX('GA Runs'!H336:H340,MATCH($Q72,'GA Runs'!M336:M340,0)))</f>
        <v>12</v>
      </c>
      <c r="V72" s="18">
        <f>IF($Q72="","",INDEX('GA Runs'!I336:I340,MATCH($Q72,'GA Runs'!M336:M340,0)))</f>
        <v>70.5</v>
      </c>
      <c r="W72" s="18">
        <f t="shared" si="12"/>
        <v>29.759158121563384</v>
      </c>
      <c r="X72" s="18">
        <f>IF(COUNT('GA Runs'!M336:M340)=0,"",AVERAGE('GA Runs'!M336:M340))</f>
        <v>16316.111800000002</v>
      </c>
      <c r="Y72" s="18">
        <f>IF(COUNT('GA Runs'!M336:M340)&lt;2,"",_xlfn.STDEV.S('GA Runs'!M336:M340))</f>
        <v>1473.641570544446</v>
      </c>
      <c r="Z72" s="22">
        <f>COUNT('GA Runs'!M336:M340)</f>
        <v>5</v>
      </c>
      <c r="AA72" s="18">
        <f>IF($Z72=0,"",AVERAGEIF('GA Runs'!M336:M340,"&gt;=0",'GA Runs'!I336:I340))</f>
        <v>66.058000000000021</v>
      </c>
      <c r="AB72" s="20">
        <v>16708.86</v>
      </c>
      <c r="AC72" s="20">
        <v>1459.11</v>
      </c>
      <c r="AD72" s="20">
        <v>1249.75</v>
      </c>
      <c r="AE72" s="20">
        <v>14000</v>
      </c>
      <c r="AF72" s="20">
        <v>4</v>
      </c>
      <c r="AG72" s="20">
        <v>108.85</v>
      </c>
      <c r="AH72" s="18">
        <f t="shared" si="13"/>
        <v>60.167636435909564</v>
      </c>
      <c r="AI72" s="18">
        <f t="shared" si="14"/>
        <v>80</v>
      </c>
      <c r="AJ72" s="18">
        <f t="shared" si="15"/>
        <v>93.333333333333329</v>
      </c>
      <c r="AK72" s="18">
        <f t="shared" si="16"/>
        <v>-13.333333333333329</v>
      </c>
      <c r="AL72" s="10" t="str">
        <f t="shared" si="17"/>
        <v>OK</v>
      </c>
      <c r="AM72" s="11"/>
    </row>
    <row r="73" spans="1:39">
      <c r="A73" s="9" t="s">
        <v>117</v>
      </c>
      <c r="B73" s="9">
        <v>64</v>
      </c>
      <c r="C73" s="9">
        <v>60</v>
      </c>
      <c r="D73" s="9">
        <v>10</v>
      </c>
      <c r="E73" s="9">
        <v>5</v>
      </c>
      <c r="F73" s="15">
        <v>0.5</v>
      </c>
      <c r="G73" s="9">
        <v>30</v>
      </c>
      <c r="H73" s="9">
        <v>30</v>
      </c>
      <c r="I73" s="15">
        <v>0.1</v>
      </c>
      <c r="J73" s="9">
        <v>6</v>
      </c>
      <c r="K73" s="17">
        <v>15989.1</v>
      </c>
      <c r="L73" s="17">
        <v>808</v>
      </c>
      <c r="M73" s="17">
        <v>1181</v>
      </c>
      <c r="N73" s="17">
        <v>14000</v>
      </c>
      <c r="O73" s="9" t="s">
        <v>66</v>
      </c>
      <c r="P73" s="17">
        <v>14874</v>
      </c>
      <c r="Q73" s="18">
        <f>IF(COUNT('GA Runs'!M341:M345)=0,"",MIN('GA Runs'!M341:M345))</f>
        <v>16561.702000000001</v>
      </c>
      <c r="R73" s="18">
        <f>IF($Q73="","",INDEX('GA Runs'!E341:E345,MATCH($Q73,'GA Runs'!M341:M345,0)))</f>
        <v>1175.4090000000001</v>
      </c>
      <c r="S73" s="18">
        <f>IF($Q73="","",INDEX('GA Runs'!F341:F345,MATCH($Q73,'GA Runs'!M341:M345,0)))</f>
        <v>1386.2929999999999</v>
      </c>
      <c r="T73" s="18">
        <f>IF($Q73="","",INDEX('GA Runs'!G341:G345,MATCH($Q73,'GA Runs'!M341:M345,0)))</f>
        <v>14000</v>
      </c>
      <c r="U73" s="18">
        <f>IF($Q73="","",INDEX('GA Runs'!H341:H345,MATCH($Q73,'GA Runs'!M341:M345,0)))</f>
        <v>14</v>
      </c>
      <c r="V73" s="18">
        <f>IF($Q73="","",INDEX('GA Runs'!I341:I345,MATCH($Q73,'GA Runs'!M341:M345,0)))</f>
        <v>65.957999999999998</v>
      </c>
      <c r="W73" s="18">
        <f t="shared" si="12"/>
        <v>3.5812021939946637</v>
      </c>
      <c r="X73" s="18">
        <f>IF(COUNT('GA Runs'!M341:M345)=0,"",AVERAGE('GA Runs'!M341:M345))</f>
        <v>18706.263999999999</v>
      </c>
      <c r="Y73" s="18">
        <f>IF(COUNT('GA Runs'!M341:M345)&lt;2,"",_xlfn.STDEV.S('GA Runs'!M341:M345))</f>
        <v>2245.3566448719507</v>
      </c>
      <c r="Z73" s="22">
        <f>COUNT('GA Runs'!M341:M345)</f>
        <v>5</v>
      </c>
      <c r="AA73" s="18">
        <f>IF($Z73=0,"",AVERAGEIF('GA Runs'!M341:M345,"&gt;=0",'GA Runs'!I341:I345))</f>
        <v>64.229399999999998</v>
      </c>
      <c r="AB73" s="20">
        <v>21870.95</v>
      </c>
      <c r="AC73" s="20">
        <v>2650.32</v>
      </c>
      <c r="AD73" s="20">
        <v>1220.6300000000001</v>
      </c>
      <c r="AE73" s="20">
        <v>18000</v>
      </c>
      <c r="AF73" s="20">
        <v>5</v>
      </c>
      <c r="AG73" s="20">
        <v>20.02</v>
      </c>
      <c r="AH73" s="18">
        <f t="shared" si="13"/>
        <v>55.650298831839173</v>
      </c>
      <c r="AI73" s="18">
        <f t="shared" si="14"/>
        <v>76.666666666666671</v>
      </c>
      <c r="AJ73" s="18">
        <f t="shared" si="15"/>
        <v>91.666666666666671</v>
      </c>
      <c r="AK73" s="18">
        <f t="shared" si="16"/>
        <v>-15</v>
      </c>
      <c r="AL73" s="10" t="str">
        <f t="shared" si="17"/>
        <v>OK</v>
      </c>
      <c r="AM73" s="11"/>
    </row>
    <row r="74" spans="1:39">
      <c r="A74" s="9" t="s">
        <v>118</v>
      </c>
      <c r="B74" s="9">
        <v>64</v>
      </c>
      <c r="C74" s="9">
        <v>60</v>
      </c>
      <c r="D74" s="9">
        <v>10</v>
      </c>
      <c r="E74" s="9">
        <v>5</v>
      </c>
      <c r="F74" s="15">
        <v>0.75</v>
      </c>
      <c r="G74" s="9">
        <v>45</v>
      </c>
      <c r="H74" s="9">
        <v>15</v>
      </c>
      <c r="I74" s="15">
        <v>0.1</v>
      </c>
      <c r="J74" s="9">
        <v>6</v>
      </c>
      <c r="K74" s="17">
        <v>13289.1</v>
      </c>
      <c r="L74" s="17">
        <v>940.5</v>
      </c>
      <c r="M74" s="17">
        <v>1348.5</v>
      </c>
      <c r="N74" s="17">
        <v>11000</v>
      </c>
      <c r="O74" s="9" t="s">
        <v>102</v>
      </c>
      <c r="P74" s="17">
        <v>21103</v>
      </c>
      <c r="Q74" s="18">
        <f>IF(COUNT('GA Runs'!M346:M350)=0,"",MIN('GA Runs'!M346:M350))</f>
        <v>14533.278</v>
      </c>
      <c r="R74" s="18">
        <f>IF($Q74="","",INDEX('GA Runs'!E346:E350,MATCH($Q74,'GA Runs'!M346:M350,0)))</f>
        <v>2040.19</v>
      </c>
      <c r="S74" s="18">
        <f>IF($Q74="","",INDEX('GA Runs'!F346:F350,MATCH($Q74,'GA Runs'!M346:M350,0)))</f>
        <v>1493.088</v>
      </c>
      <c r="T74" s="18">
        <f>IF($Q74="","",INDEX('GA Runs'!G346:G350,MATCH($Q74,'GA Runs'!M346:M350,0)))</f>
        <v>11000</v>
      </c>
      <c r="U74" s="18">
        <f>IF($Q74="","",INDEX('GA Runs'!H346:H350,MATCH($Q74,'GA Runs'!M346:M350,0)))</f>
        <v>11</v>
      </c>
      <c r="V74" s="18">
        <f>IF($Q74="","",INDEX('GA Runs'!I346:I350,MATCH($Q74,'GA Runs'!M346:M350,0)))</f>
        <v>58.545000000000002</v>
      </c>
      <c r="W74" s="18">
        <f t="shared" si="12"/>
        <v>9.3623947445650941</v>
      </c>
      <c r="X74" s="18">
        <f>IF(COUNT('GA Runs'!M346:M350)=0,"",AVERAGE('GA Runs'!M346:M350))</f>
        <v>17315.906199999998</v>
      </c>
      <c r="Y74" s="18">
        <f>IF(COUNT('GA Runs'!M346:M350)&lt;2,"",_xlfn.STDEV.S('GA Runs'!M346:M350))</f>
        <v>1851.6237102033451</v>
      </c>
      <c r="Z74" s="22">
        <f>COUNT('GA Runs'!M346:M350)</f>
        <v>5</v>
      </c>
      <c r="AA74" s="18">
        <f>IF($Z74=0,"",AVERAGEIF('GA Runs'!M346:M350,"&gt;=0",'GA Runs'!I346:I350))</f>
        <v>59.632400000000004</v>
      </c>
      <c r="AB74" s="20">
        <v>25253.89</v>
      </c>
      <c r="AC74" s="20">
        <v>3000.38</v>
      </c>
      <c r="AD74" s="20">
        <v>1253.51</v>
      </c>
      <c r="AE74" s="20">
        <v>21000</v>
      </c>
      <c r="AF74" s="20">
        <v>6</v>
      </c>
      <c r="AG74" s="20">
        <v>4.75</v>
      </c>
      <c r="AH74" s="18">
        <f t="shared" si="13"/>
        <v>32.002279711236575</v>
      </c>
      <c r="AI74" s="18">
        <f t="shared" si="14"/>
        <v>81.666666666666671</v>
      </c>
      <c r="AJ74" s="18">
        <f t="shared" si="15"/>
        <v>90</v>
      </c>
      <c r="AK74" s="18">
        <f t="shared" si="16"/>
        <v>-8.3333333333333286</v>
      </c>
      <c r="AL74" s="10" t="str">
        <f t="shared" si="17"/>
        <v>OK</v>
      </c>
      <c r="AM74" s="11"/>
    </row>
    <row r="75" spans="1:39">
      <c r="A75" s="9" t="s">
        <v>119</v>
      </c>
      <c r="B75" s="9">
        <v>64</v>
      </c>
      <c r="C75" s="9">
        <v>60</v>
      </c>
      <c r="D75" s="9">
        <v>10</v>
      </c>
      <c r="E75" s="9">
        <v>5</v>
      </c>
      <c r="F75" s="15">
        <v>0.9</v>
      </c>
      <c r="G75" s="9">
        <v>54</v>
      </c>
      <c r="H75" s="9">
        <v>6</v>
      </c>
      <c r="I75" s="15">
        <v>0.1</v>
      </c>
      <c r="J75" s="9">
        <v>6</v>
      </c>
      <c r="K75" s="17" t="s">
        <v>69</v>
      </c>
      <c r="L75" s="17" t="s">
        <v>69</v>
      </c>
      <c r="M75" s="17" t="s">
        <v>69</v>
      </c>
      <c r="N75" s="17" t="s">
        <v>69</v>
      </c>
      <c r="O75" s="9" t="s">
        <v>69</v>
      </c>
      <c r="P75" s="17">
        <v>21600</v>
      </c>
      <c r="Q75" s="18">
        <f>IF(COUNT('GA Runs'!M351:M355)=0,"",MIN('GA Runs'!M351:M355))</f>
        <v>14552.112999999999</v>
      </c>
      <c r="R75" s="18">
        <f>IF($Q75="","",INDEX('GA Runs'!E351:E355,MATCH($Q75,'GA Runs'!M351:M355,0)))</f>
        <v>2166.752</v>
      </c>
      <c r="S75" s="18">
        <f>IF($Q75="","",INDEX('GA Runs'!F351:F355,MATCH($Q75,'GA Runs'!M351:M355,0)))</f>
        <v>1385.36</v>
      </c>
      <c r="T75" s="18">
        <f>IF($Q75="","",INDEX('GA Runs'!G351:G355,MATCH($Q75,'GA Runs'!M351:M355,0)))</f>
        <v>11000</v>
      </c>
      <c r="U75" s="18">
        <f>IF($Q75="","",INDEX('GA Runs'!H351:H355,MATCH($Q75,'GA Runs'!M351:M355,0)))</f>
        <v>11</v>
      </c>
      <c r="V75" s="18">
        <f>IF($Q75="","",INDEX('GA Runs'!I351:I355,MATCH($Q75,'GA Runs'!M351:M355,0)))</f>
        <v>63.598999999999997</v>
      </c>
      <c r="W75" s="18" t="str">
        <f t="shared" si="12"/>
        <v/>
      </c>
      <c r="X75" s="18">
        <f>IF(COUNT('GA Runs'!M351:M355)=0,"",AVERAGE('GA Runs'!M351:M355))</f>
        <v>15809.018599999999</v>
      </c>
      <c r="Y75" s="18">
        <f>IF(COUNT('GA Runs'!M351:M355)&lt;2,"",_xlfn.STDEV.S('GA Runs'!M351:M355))</f>
        <v>1645.5326214183049</v>
      </c>
      <c r="Z75" s="22">
        <f>COUNT('GA Runs'!M351:M355)</f>
        <v>5</v>
      </c>
      <c r="AA75" s="18">
        <f>IF($Z75=0,"",AVERAGEIF('GA Runs'!M351:M355,"&gt;=0",'GA Runs'!I351:I355))</f>
        <v>61.656000000000006</v>
      </c>
      <c r="AB75" s="20">
        <v>25189.279999999999</v>
      </c>
      <c r="AC75" s="20">
        <v>3920.98</v>
      </c>
      <c r="AD75" s="20">
        <v>1268.31</v>
      </c>
      <c r="AE75" s="20">
        <v>20000</v>
      </c>
      <c r="AF75" s="20">
        <v>6</v>
      </c>
      <c r="AG75" s="20">
        <v>4.09</v>
      </c>
      <c r="AH75" s="18">
        <f t="shared" si="13"/>
        <v>44.739529403363449</v>
      </c>
      <c r="AI75" s="18">
        <f t="shared" si="14"/>
        <v>81.666666666666671</v>
      </c>
      <c r="AJ75" s="18">
        <f t="shared" si="15"/>
        <v>90</v>
      </c>
      <c r="AK75" s="18">
        <f t="shared" si="16"/>
        <v>-8.3333333333333286</v>
      </c>
      <c r="AL75" s="10" t="str">
        <f t="shared" si="17"/>
        <v>OK</v>
      </c>
      <c r="AM75" s="11"/>
    </row>
    <row r="76" spans="1:39">
      <c r="A76" s="9" t="s">
        <v>120</v>
      </c>
      <c r="B76" s="9">
        <v>42</v>
      </c>
      <c r="C76" s="9">
        <v>60</v>
      </c>
      <c r="D76" s="9">
        <v>10</v>
      </c>
      <c r="E76" s="9">
        <v>5</v>
      </c>
      <c r="F76" s="15">
        <v>0.1</v>
      </c>
      <c r="G76" s="9">
        <v>6</v>
      </c>
      <c r="H76" s="9">
        <v>54</v>
      </c>
      <c r="I76" s="15">
        <v>0.1</v>
      </c>
      <c r="J76" s="9">
        <v>6</v>
      </c>
      <c r="K76" s="17">
        <v>16274</v>
      </c>
      <c r="L76" s="17">
        <v>199.1</v>
      </c>
      <c r="M76" s="17">
        <v>1074.9000000000001</v>
      </c>
      <c r="N76" s="17">
        <v>15000</v>
      </c>
      <c r="O76" s="9" t="s">
        <v>121</v>
      </c>
      <c r="P76" s="17">
        <v>3130</v>
      </c>
      <c r="Q76" s="18">
        <f>IF(COUNT('GA Runs'!M356:M360)=0,"",MIN('GA Runs'!M356:M360))</f>
        <v>19425.553</v>
      </c>
      <c r="R76" s="18">
        <f>IF($Q76="","",INDEX('GA Runs'!E356:E360,MATCH($Q76,'GA Runs'!M356:M360,0)))</f>
        <v>205.167</v>
      </c>
      <c r="S76" s="18">
        <f>IF($Q76="","",INDEX('GA Runs'!F356:F360,MATCH($Q76,'GA Runs'!M356:M360,0)))</f>
        <v>1220.386</v>
      </c>
      <c r="T76" s="18">
        <f>IF($Q76="","",INDEX('GA Runs'!G356:G360,MATCH($Q76,'GA Runs'!M356:M360,0)))</f>
        <v>18000</v>
      </c>
      <c r="U76" s="18">
        <f>IF($Q76="","",INDEX('GA Runs'!H356:H360,MATCH($Q76,'GA Runs'!M356:M360,0)))</f>
        <v>18</v>
      </c>
      <c r="V76" s="18">
        <f>IF($Q76="","",INDEX('GA Runs'!I356:I360,MATCH($Q76,'GA Runs'!M356:M360,0)))</f>
        <v>72.274000000000001</v>
      </c>
      <c r="W76" s="18">
        <f t="shared" si="12"/>
        <v>19.365570849207323</v>
      </c>
      <c r="X76" s="18">
        <f>IF(COUNT('GA Runs'!M356:M360)=0,"",AVERAGE('GA Runs'!M356:M360))</f>
        <v>20796.652399999999</v>
      </c>
      <c r="Y76" s="18">
        <f>IF(COUNT('GA Runs'!M356:M360)&lt;2,"",_xlfn.STDEV.S('GA Runs'!M356:M360))</f>
        <v>1988.3175458093463</v>
      </c>
      <c r="Z76" s="22">
        <f>COUNT('GA Runs'!M356:M360)</f>
        <v>5</v>
      </c>
      <c r="AA76" s="18">
        <f>IF($Z76=0,"",AVERAGEIF('GA Runs'!M356:M360,"&gt;=0",'GA Runs'!I356:I360))</f>
        <v>70.519800000000004</v>
      </c>
      <c r="AB76" s="20">
        <v>16569.009999999998</v>
      </c>
      <c r="AC76" s="20">
        <v>512.37</v>
      </c>
      <c r="AD76" s="20">
        <v>1056.6400000000001</v>
      </c>
      <c r="AE76" s="20">
        <v>15000</v>
      </c>
      <c r="AF76" s="20">
        <v>5</v>
      </c>
      <c r="AG76" s="20">
        <v>388.39</v>
      </c>
      <c r="AH76" s="18">
        <f t="shared" si="13"/>
        <v>59.957257450670404</v>
      </c>
      <c r="AI76" s="18">
        <f t="shared" si="14"/>
        <v>70</v>
      </c>
      <c r="AJ76" s="18">
        <f t="shared" si="15"/>
        <v>91.666666666666671</v>
      </c>
      <c r="AK76" s="18">
        <f t="shared" si="16"/>
        <v>-21.666666666666671</v>
      </c>
      <c r="AL76" s="10" t="str">
        <f t="shared" si="17"/>
        <v>OK</v>
      </c>
      <c r="AM76" s="11"/>
    </row>
    <row r="77" spans="1:39">
      <c r="A77" s="9" t="s">
        <v>122</v>
      </c>
      <c r="B77" s="9">
        <v>42</v>
      </c>
      <c r="C77" s="9">
        <v>60</v>
      </c>
      <c r="D77" s="9">
        <v>10</v>
      </c>
      <c r="E77" s="9">
        <v>5</v>
      </c>
      <c r="F77" s="15">
        <v>0.25</v>
      </c>
      <c r="G77" s="9">
        <v>15</v>
      </c>
      <c r="H77" s="9">
        <v>45</v>
      </c>
      <c r="I77" s="15">
        <v>0.1</v>
      </c>
      <c r="J77" s="9">
        <v>6</v>
      </c>
      <c r="K77" s="17">
        <v>16508.3</v>
      </c>
      <c r="L77" s="17">
        <v>351.6</v>
      </c>
      <c r="M77" s="17">
        <v>1156.7</v>
      </c>
      <c r="N77" s="17">
        <v>15000</v>
      </c>
      <c r="O77" s="9" t="s">
        <v>123</v>
      </c>
      <c r="P77" s="17">
        <v>9998</v>
      </c>
      <c r="Q77" s="18">
        <f>IF(COUNT('GA Runs'!M361:M365)=0,"",MIN('GA Runs'!M361:M365))</f>
        <v>16731.978999999999</v>
      </c>
      <c r="R77" s="18">
        <f>IF($Q77="","",INDEX('GA Runs'!E361:E365,MATCH($Q77,'GA Runs'!M361:M365,0)))</f>
        <v>531.47</v>
      </c>
      <c r="S77" s="18">
        <f>IF($Q77="","",INDEX('GA Runs'!F361:F365,MATCH($Q77,'GA Runs'!M361:M365,0)))</f>
        <v>1200.509</v>
      </c>
      <c r="T77" s="18">
        <f>IF($Q77="","",INDEX('GA Runs'!G361:G365,MATCH($Q77,'GA Runs'!M361:M365,0)))</f>
        <v>15000</v>
      </c>
      <c r="U77" s="18">
        <f>IF($Q77="","",INDEX('GA Runs'!H361:H365,MATCH($Q77,'GA Runs'!M361:M365,0)))</f>
        <v>15</v>
      </c>
      <c r="V77" s="18">
        <f>IF($Q77="","",INDEX('GA Runs'!I361:I365,MATCH($Q77,'GA Runs'!M361:M365,0)))</f>
        <v>71.055000000000007</v>
      </c>
      <c r="W77" s="18">
        <f t="shared" si="12"/>
        <v>1.3549487227637014</v>
      </c>
      <c r="X77" s="18">
        <f>IF(COUNT('GA Runs'!M361:M365)=0,"",AVERAGE('GA Runs'!M361:M365))</f>
        <v>19351.7304</v>
      </c>
      <c r="Y77" s="18">
        <f>IF(COUNT('GA Runs'!M361:M365)&lt;2,"",_xlfn.STDEV.S('GA Runs'!M361:M365))</f>
        <v>2751.9174978504034</v>
      </c>
      <c r="Z77" s="22">
        <f>COUNT('GA Runs'!M361:M365)</f>
        <v>5</v>
      </c>
      <c r="AA77" s="18">
        <f>IF($Z77=0,"",AVERAGEIF('GA Runs'!M361:M365,"&gt;=0",'GA Runs'!I361:I365))</f>
        <v>66.861000000000018</v>
      </c>
      <c r="AB77" s="20">
        <v>17249.419999999998</v>
      </c>
      <c r="AC77" s="20">
        <v>1070.29</v>
      </c>
      <c r="AD77" s="20">
        <v>1179.1400000000001</v>
      </c>
      <c r="AE77" s="20">
        <v>15000</v>
      </c>
      <c r="AF77" s="20">
        <v>5</v>
      </c>
      <c r="AG77" s="20">
        <v>33.93</v>
      </c>
      <c r="AH77" s="18">
        <f t="shared" si="13"/>
        <v>50.343364882415038</v>
      </c>
      <c r="AI77" s="18">
        <f t="shared" si="14"/>
        <v>75</v>
      </c>
      <c r="AJ77" s="18">
        <f t="shared" si="15"/>
        <v>91.666666666666671</v>
      </c>
      <c r="AK77" s="18">
        <f t="shared" si="16"/>
        <v>-16.666666666666671</v>
      </c>
      <c r="AL77" s="10" t="str">
        <f t="shared" si="17"/>
        <v>OK</v>
      </c>
      <c r="AM77" s="11"/>
    </row>
    <row r="78" spans="1:39">
      <c r="A78" s="9" t="s">
        <v>124</v>
      </c>
      <c r="B78" s="9">
        <v>42</v>
      </c>
      <c r="C78" s="9">
        <v>60</v>
      </c>
      <c r="D78" s="9">
        <v>10</v>
      </c>
      <c r="E78" s="9">
        <v>5</v>
      </c>
      <c r="F78" s="15">
        <v>0.5</v>
      </c>
      <c r="G78" s="9">
        <v>30</v>
      </c>
      <c r="H78" s="9">
        <v>30</v>
      </c>
      <c r="I78" s="15">
        <v>0.1</v>
      </c>
      <c r="J78" s="9">
        <v>6</v>
      </c>
      <c r="K78" s="17">
        <v>14323.9</v>
      </c>
      <c r="L78" s="17">
        <v>1143.0999999999999</v>
      </c>
      <c r="M78" s="17">
        <v>1180.8</v>
      </c>
      <c r="N78" s="17">
        <v>12000</v>
      </c>
      <c r="O78" s="9" t="s">
        <v>125</v>
      </c>
      <c r="P78" s="17">
        <v>10801</v>
      </c>
      <c r="Q78" s="18">
        <f>IF(COUNT('GA Runs'!M366:M370)=0,"",MIN('GA Runs'!M366:M370))</f>
        <v>20151.723000000002</v>
      </c>
      <c r="R78" s="18">
        <f>IF($Q78="","",INDEX('GA Runs'!E366:E370,MATCH($Q78,'GA Runs'!M366:M370,0)))</f>
        <v>908.048</v>
      </c>
      <c r="S78" s="18">
        <f>IF($Q78="","",INDEX('GA Runs'!F366:F370,MATCH($Q78,'GA Runs'!M366:M370,0)))</f>
        <v>1243.675</v>
      </c>
      <c r="T78" s="18">
        <f>IF($Q78="","",INDEX('GA Runs'!G366:G370,MATCH($Q78,'GA Runs'!M366:M370,0)))</f>
        <v>18000</v>
      </c>
      <c r="U78" s="18">
        <f>IF($Q78="","",INDEX('GA Runs'!H366:H370,MATCH($Q78,'GA Runs'!M366:M370,0)))</f>
        <v>18</v>
      </c>
      <c r="V78" s="18">
        <f>IF($Q78="","",INDEX('GA Runs'!I366:I370,MATCH($Q78,'GA Runs'!M366:M370,0)))</f>
        <v>74.643000000000001</v>
      </c>
      <c r="W78" s="18">
        <f t="shared" si="12"/>
        <v>40.686007302480483</v>
      </c>
      <c r="X78" s="18">
        <f>IF(COUNT('GA Runs'!M366:M370)=0,"",AVERAGE('GA Runs'!M366:M370))</f>
        <v>20299.6466</v>
      </c>
      <c r="Y78" s="18">
        <f>IF(COUNT('GA Runs'!M366:M370)&lt;2,"",_xlfn.STDEV.S('GA Runs'!M366:M370))</f>
        <v>112.22751607471234</v>
      </c>
      <c r="Z78" s="22">
        <f>COUNT('GA Runs'!M366:M370)</f>
        <v>5</v>
      </c>
      <c r="AA78" s="18">
        <f>IF($Z78=0,"",AVERAGEIF('GA Runs'!M366:M370,"&gt;=0",'GA Runs'!I366:I370))</f>
        <v>71.412400000000005</v>
      </c>
      <c r="AB78" s="20">
        <v>22176.01</v>
      </c>
      <c r="AC78" s="20">
        <v>2024.74</v>
      </c>
      <c r="AD78" s="20">
        <v>1151.28</v>
      </c>
      <c r="AE78" s="20">
        <v>19000</v>
      </c>
      <c r="AF78" s="20">
        <v>6</v>
      </c>
      <c r="AG78" s="20">
        <v>8.65</v>
      </c>
      <c r="AH78" s="18">
        <f t="shared" si="13"/>
        <v>55.152365241956993</v>
      </c>
      <c r="AI78" s="18">
        <f t="shared" si="14"/>
        <v>70</v>
      </c>
      <c r="AJ78" s="18">
        <f t="shared" si="15"/>
        <v>90</v>
      </c>
      <c r="AK78" s="18">
        <f t="shared" si="16"/>
        <v>-20</v>
      </c>
      <c r="AL78" s="10" t="str">
        <f t="shared" si="17"/>
        <v>OK</v>
      </c>
      <c r="AM78" s="11"/>
    </row>
    <row r="79" spans="1:39">
      <c r="A79" s="9" t="s">
        <v>126</v>
      </c>
      <c r="B79" s="9">
        <v>42</v>
      </c>
      <c r="C79" s="9">
        <v>60</v>
      </c>
      <c r="D79" s="9">
        <v>10</v>
      </c>
      <c r="E79" s="9">
        <v>5</v>
      </c>
      <c r="F79" s="15">
        <v>0.75</v>
      </c>
      <c r="G79" s="9">
        <v>45</v>
      </c>
      <c r="H79" s="9">
        <v>15</v>
      </c>
      <c r="I79" s="15">
        <v>0.1</v>
      </c>
      <c r="J79" s="9">
        <v>6</v>
      </c>
      <c r="K79" s="17">
        <v>17471.2</v>
      </c>
      <c r="L79" s="17">
        <v>1310.7</v>
      </c>
      <c r="M79" s="17">
        <v>1160.5</v>
      </c>
      <c r="N79" s="17">
        <v>15000</v>
      </c>
      <c r="O79" s="9" t="s">
        <v>127</v>
      </c>
      <c r="P79" s="17">
        <v>14134</v>
      </c>
      <c r="Q79" s="18">
        <f>IF(COUNT('GA Runs'!M371:M375)=0,"",MIN('GA Runs'!M371:M375))</f>
        <v>17953.357</v>
      </c>
      <c r="R79" s="18">
        <f>IF($Q79="","",INDEX('GA Runs'!E371:E375,MATCH($Q79,'GA Runs'!M371:M375,0)))</f>
        <v>1735.375</v>
      </c>
      <c r="S79" s="18">
        <f>IF($Q79="","",INDEX('GA Runs'!F371:F375,MATCH($Q79,'GA Runs'!M371:M375,0)))</f>
        <v>1217.9829999999999</v>
      </c>
      <c r="T79" s="18">
        <f>IF($Q79="","",INDEX('GA Runs'!G371:G375,MATCH($Q79,'GA Runs'!M371:M375,0)))</f>
        <v>15000</v>
      </c>
      <c r="U79" s="18">
        <f>IF($Q79="","",INDEX('GA Runs'!H371:H375,MATCH($Q79,'GA Runs'!M371:M375,0)))</f>
        <v>15</v>
      </c>
      <c r="V79" s="18">
        <f>IF($Q79="","",INDEX('GA Runs'!I371:I375,MATCH($Q79,'GA Runs'!M371:M375,0)))</f>
        <v>69.786000000000001</v>
      </c>
      <c r="W79" s="18">
        <f t="shared" si="12"/>
        <v>2.7597245753010626</v>
      </c>
      <c r="X79" s="18">
        <f>IF(COUNT('GA Runs'!M371:M375)=0,"",AVERAGE('GA Runs'!M371:M375))</f>
        <v>20006.3822</v>
      </c>
      <c r="Y79" s="18">
        <f>IF(COUNT('GA Runs'!M371:M375)&lt;2,"",_xlfn.STDEV.S('GA Runs'!M371:M375))</f>
        <v>2960.4526280272853</v>
      </c>
      <c r="Z79" s="22">
        <f>COUNT('GA Runs'!M371:M375)</f>
        <v>5</v>
      </c>
      <c r="AA79" s="18">
        <f>IF($Z79=0,"",AVERAGEIF('GA Runs'!M371:M375,"&gt;=0",'GA Runs'!I371:I375))</f>
        <v>68.628199999999993</v>
      </c>
      <c r="AB79" s="20">
        <v>23206.33</v>
      </c>
      <c r="AC79" s="20">
        <v>2999.09</v>
      </c>
      <c r="AD79" s="20">
        <v>1207.24</v>
      </c>
      <c r="AE79" s="20">
        <v>19000</v>
      </c>
      <c r="AF79" s="20">
        <v>6</v>
      </c>
      <c r="AG79" s="20">
        <v>5.27</v>
      </c>
      <c r="AH79" s="18">
        <f t="shared" si="13"/>
        <v>42.136614773147855</v>
      </c>
      <c r="AI79" s="18">
        <f t="shared" si="14"/>
        <v>75</v>
      </c>
      <c r="AJ79" s="18">
        <f t="shared" si="15"/>
        <v>90</v>
      </c>
      <c r="AK79" s="18">
        <f t="shared" si="16"/>
        <v>-15</v>
      </c>
      <c r="AL79" s="10" t="str">
        <f t="shared" si="17"/>
        <v>OK</v>
      </c>
      <c r="AM79" s="11"/>
    </row>
    <row r="80" spans="1:39">
      <c r="A80" s="9" t="s">
        <v>128</v>
      </c>
      <c r="B80" s="9">
        <v>42</v>
      </c>
      <c r="C80" s="9">
        <v>60</v>
      </c>
      <c r="D80" s="9">
        <v>10</v>
      </c>
      <c r="E80" s="9">
        <v>5</v>
      </c>
      <c r="F80" s="15">
        <v>0.9</v>
      </c>
      <c r="G80" s="9">
        <v>54</v>
      </c>
      <c r="H80" s="9">
        <v>6</v>
      </c>
      <c r="I80" s="15">
        <v>0.1</v>
      </c>
      <c r="J80" s="9">
        <v>6</v>
      </c>
      <c r="K80" s="17" t="s">
        <v>69</v>
      </c>
      <c r="L80" s="17" t="s">
        <v>69</v>
      </c>
      <c r="M80" s="17" t="s">
        <v>69</v>
      </c>
      <c r="N80" s="17" t="s">
        <v>69</v>
      </c>
      <c r="O80" s="17" t="s">
        <v>69</v>
      </c>
      <c r="P80" s="17">
        <v>21600</v>
      </c>
      <c r="Q80" s="18">
        <f>IF(COUNT('GA Runs'!M376:M380)=0,"",MIN('GA Runs'!M376:M380))</f>
        <v>18482.553</v>
      </c>
      <c r="R80" s="18">
        <f>IF($Q80="","",INDEX('GA Runs'!E376:E380,MATCH($Q80,'GA Runs'!M376:M380,0)))</f>
        <v>2236.9650000000001</v>
      </c>
      <c r="S80" s="18">
        <f>IF($Q80="","",INDEX('GA Runs'!F376:F380,MATCH($Q80,'GA Runs'!M376:M380,0)))</f>
        <v>1245.588</v>
      </c>
      <c r="T80" s="18">
        <f>IF($Q80="","",INDEX('GA Runs'!G376:G380,MATCH($Q80,'GA Runs'!M376:M380,0)))</f>
        <v>15000</v>
      </c>
      <c r="U80" s="18">
        <f>IF($Q80="","",INDEX('GA Runs'!H376:H380,MATCH($Q80,'GA Runs'!M376:M380,0)))</f>
        <v>15</v>
      </c>
      <c r="V80" s="18">
        <f>IF($Q80="","",INDEX('GA Runs'!I376:I380,MATCH($Q80,'GA Runs'!M376:M380,0)))</f>
        <v>50.723999999999997</v>
      </c>
      <c r="W80" s="18" t="str">
        <f t="shared" si="12"/>
        <v/>
      </c>
      <c r="X80" s="18">
        <f>IF(COUNT('GA Runs'!M376:M380)=0,"",AVERAGE('GA Runs'!M376:M380))</f>
        <v>21764.470999999998</v>
      </c>
      <c r="Y80" s="18">
        <f>IF(COUNT('GA Runs'!M376:M380)&lt;2,"",_xlfn.STDEV.S('GA Runs'!M376:M380))</f>
        <v>2304.4440753328126</v>
      </c>
      <c r="Z80" s="22">
        <f>COUNT('GA Runs'!M376:M380)</f>
        <v>5</v>
      </c>
      <c r="AA80" s="18">
        <f>IF($Z80=0,"",AVERAGEIF('GA Runs'!M376:M380,"&gt;=0",'GA Runs'!I376:I380))</f>
        <v>57.811199999999999</v>
      </c>
      <c r="AB80" s="20">
        <v>30267.72</v>
      </c>
      <c r="AC80" s="20">
        <v>4095.19</v>
      </c>
      <c r="AD80" s="20">
        <v>1172.53</v>
      </c>
      <c r="AE80" s="20">
        <v>25000</v>
      </c>
      <c r="AF80" s="20">
        <v>8</v>
      </c>
      <c r="AG80" s="20">
        <v>8.85</v>
      </c>
      <c r="AH80" s="18">
        <f t="shared" si="13"/>
        <v>45.375794529679943</v>
      </c>
      <c r="AI80" s="18">
        <f t="shared" si="14"/>
        <v>75</v>
      </c>
      <c r="AJ80" s="18">
        <f t="shared" si="15"/>
        <v>86.666666666666671</v>
      </c>
      <c r="AK80" s="18">
        <f t="shared" si="16"/>
        <v>-11.666666666666671</v>
      </c>
      <c r="AL80" s="10" t="str">
        <f t="shared" si="17"/>
        <v>OK</v>
      </c>
      <c r="AM80" s="11"/>
    </row>
    <row r="81" spans="1:39">
      <c r="A81" s="9" t="s">
        <v>129</v>
      </c>
      <c r="B81" s="9">
        <v>73</v>
      </c>
      <c r="C81" s="9">
        <v>80</v>
      </c>
      <c r="D81" s="9">
        <v>12</v>
      </c>
      <c r="E81" s="9">
        <v>4</v>
      </c>
      <c r="F81" s="15">
        <v>0.1</v>
      </c>
      <c r="G81" s="9">
        <v>8</v>
      </c>
      <c r="H81" s="9">
        <v>72</v>
      </c>
      <c r="I81" s="15">
        <v>0.1</v>
      </c>
      <c r="J81" s="9">
        <v>8</v>
      </c>
      <c r="K81" s="17" t="s">
        <v>69</v>
      </c>
      <c r="L81" s="17" t="s">
        <v>69</v>
      </c>
      <c r="M81" s="17" t="s">
        <v>69</v>
      </c>
      <c r="N81" s="17" t="s">
        <v>69</v>
      </c>
      <c r="O81" s="17" t="s">
        <v>69</v>
      </c>
      <c r="P81" s="17">
        <v>21600</v>
      </c>
      <c r="Q81" s="18">
        <f>IF(COUNT('GA Runs'!M381:M385)=0,"",MIN('GA Runs'!M381:M385))</f>
        <v>45275.063000000002</v>
      </c>
      <c r="R81" s="18">
        <f>IF($Q81="","",INDEX('GA Runs'!E381:E385,MATCH($Q81,'GA Runs'!M381:M385,0)))</f>
        <v>525.09400000000005</v>
      </c>
      <c r="S81" s="18">
        <f>IF($Q81="","",INDEX('GA Runs'!F381:F385,MATCH($Q81,'GA Runs'!M381:M385,0)))</f>
        <v>1749.9690000000001</v>
      </c>
      <c r="T81" s="18">
        <f>IF($Q81="","",INDEX('GA Runs'!G381:G385,MATCH($Q81,'GA Runs'!M381:M385,0)))</f>
        <v>43000</v>
      </c>
      <c r="U81" s="18">
        <f>IF($Q81="","",INDEX('GA Runs'!H381:H385,MATCH($Q81,'GA Runs'!M381:M385,0)))</f>
        <v>43</v>
      </c>
      <c r="V81" s="18">
        <f>IF($Q81="","",INDEX('GA Runs'!I381:I385,MATCH($Q81,'GA Runs'!M381:M385,0)))</f>
        <v>101.956</v>
      </c>
      <c r="W81" s="18" t="str">
        <f t="shared" si="12"/>
        <v/>
      </c>
      <c r="X81" s="18">
        <f>IF(COUNT('GA Runs'!M381:M385)=0,"",AVERAGE('GA Runs'!M381:M385))</f>
        <v>47070.596799999999</v>
      </c>
      <c r="Y81" s="18">
        <f>IF(COUNT('GA Runs'!M381:M385)&lt;2,"",_xlfn.STDEV.S('GA Runs'!M381:M385))</f>
        <v>1309.1637269513687</v>
      </c>
      <c r="Z81" s="22">
        <f>COUNT('GA Runs'!M381:M385)</f>
        <v>5</v>
      </c>
      <c r="AA81" s="18">
        <f>IF($Z81=0,"",AVERAGEIF('GA Runs'!M381:M385,"&gt;=0",'GA Runs'!I381:I385))</f>
        <v>104.12839999999998</v>
      </c>
      <c r="AB81" s="20">
        <v>42050.7</v>
      </c>
      <c r="AC81" s="20">
        <v>549.6</v>
      </c>
      <c r="AD81" s="20">
        <v>1501.1</v>
      </c>
      <c r="AE81" s="20">
        <v>40000</v>
      </c>
      <c r="AF81" s="20">
        <v>12</v>
      </c>
      <c r="AG81" s="20">
        <v>117.23</v>
      </c>
      <c r="AH81" s="18">
        <f t="shared" si="13"/>
        <v>4.4588791848617122</v>
      </c>
      <c r="AI81" s="18">
        <f t="shared" si="14"/>
        <v>46.25</v>
      </c>
      <c r="AJ81" s="18">
        <f t="shared" si="15"/>
        <v>85</v>
      </c>
      <c r="AK81" s="18">
        <f t="shared" si="16"/>
        <v>-38.75</v>
      </c>
      <c r="AL81" s="10" t="str">
        <f t="shared" si="17"/>
        <v>OK</v>
      </c>
      <c r="AM81" s="11"/>
    </row>
    <row r="82" spans="1:39">
      <c r="A82" s="9" t="s">
        <v>130</v>
      </c>
      <c r="B82" s="9">
        <v>73</v>
      </c>
      <c r="C82" s="9">
        <v>80</v>
      </c>
      <c r="D82" s="9">
        <v>12</v>
      </c>
      <c r="E82" s="9">
        <v>4</v>
      </c>
      <c r="F82" s="15">
        <v>0.25</v>
      </c>
      <c r="G82" s="9">
        <v>20</v>
      </c>
      <c r="H82" s="9">
        <v>60</v>
      </c>
      <c r="I82" s="15">
        <v>0.1</v>
      </c>
      <c r="J82" s="9">
        <v>8</v>
      </c>
      <c r="K82" s="17" t="s">
        <v>69</v>
      </c>
      <c r="L82" s="17" t="s">
        <v>69</v>
      </c>
      <c r="M82" s="17" t="s">
        <v>69</v>
      </c>
      <c r="N82" s="17" t="s">
        <v>69</v>
      </c>
      <c r="O82" s="17" t="s">
        <v>69</v>
      </c>
      <c r="P82" s="17">
        <v>21600</v>
      </c>
      <c r="Q82" s="18">
        <f>IF(COUNT('GA Runs'!M386:M390)=0,"",MIN('GA Runs'!M386:M390))</f>
        <v>49074.504000000001</v>
      </c>
      <c r="R82" s="18">
        <f>IF($Q82="","",INDEX('GA Runs'!E386:E390,MATCH($Q82,'GA Runs'!M386:M390,0)))</f>
        <v>1276.876</v>
      </c>
      <c r="S82" s="18">
        <f>IF($Q82="","",INDEX('GA Runs'!F386:F390,MATCH($Q82,'GA Runs'!M386:M390,0)))</f>
        <v>1797.6279999999999</v>
      </c>
      <c r="T82" s="18">
        <f>IF($Q82="","",INDEX('GA Runs'!G386:G390,MATCH($Q82,'GA Runs'!M386:M390,0)))</f>
        <v>46000</v>
      </c>
      <c r="U82" s="18">
        <f>IF($Q82="","",INDEX('GA Runs'!H386:H390,MATCH($Q82,'GA Runs'!M386:M390,0)))</f>
        <v>46</v>
      </c>
      <c r="V82" s="18">
        <f>IF($Q82="","",INDEX('GA Runs'!I386:I390,MATCH($Q82,'GA Runs'!M386:M390,0)))</f>
        <v>102.98099999999999</v>
      </c>
      <c r="W82" s="18" t="str">
        <f t="shared" si="12"/>
        <v/>
      </c>
      <c r="X82" s="18">
        <f>IF(COUNT('GA Runs'!M386:M390)=0,"",AVERAGE('GA Runs'!M386:M390))</f>
        <v>50781.979800000008</v>
      </c>
      <c r="Y82" s="18">
        <f>IF(COUNT('GA Runs'!M386:M390)&lt;2,"",_xlfn.STDEV.S('GA Runs'!M386:M390))</f>
        <v>2025.9407728216534</v>
      </c>
      <c r="Z82" s="22">
        <f>COUNT('GA Runs'!M386:M390)</f>
        <v>5</v>
      </c>
      <c r="AA82" s="18">
        <f>IF($Z82=0,"",AVERAGEIF('GA Runs'!M386:M390,"&gt;=0",'GA Runs'!I386:I390))</f>
        <v>101.1926</v>
      </c>
      <c r="AB82" s="20">
        <v>50814.1</v>
      </c>
      <c r="AC82" s="20">
        <v>1059.2</v>
      </c>
      <c r="AD82" s="20">
        <v>1754.9</v>
      </c>
      <c r="AE82" s="20">
        <v>48000</v>
      </c>
      <c r="AF82" s="20">
        <v>13</v>
      </c>
      <c r="AG82" s="20">
        <v>99.04</v>
      </c>
      <c r="AH82" s="18">
        <f t="shared" si="13"/>
        <v>-20.550981873111773</v>
      </c>
      <c r="AI82" s="18">
        <f t="shared" si="14"/>
        <v>42.5</v>
      </c>
      <c r="AJ82" s="18">
        <f t="shared" si="15"/>
        <v>83.75</v>
      </c>
      <c r="AK82" s="18">
        <f t="shared" si="16"/>
        <v>-41.25</v>
      </c>
      <c r="AL82" s="10" t="str">
        <f t="shared" si="17"/>
        <v>OK</v>
      </c>
      <c r="AM82" s="11"/>
    </row>
    <row r="83" spans="1:39">
      <c r="A83" s="9" t="s">
        <v>131</v>
      </c>
      <c r="B83" s="9">
        <v>73</v>
      </c>
      <c r="C83" s="9">
        <v>80</v>
      </c>
      <c r="D83" s="9">
        <v>12</v>
      </c>
      <c r="E83" s="9">
        <v>4</v>
      </c>
      <c r="F83" s="15">
        <v>0.5</v>
      </c>
      <c r="G83" s="9">
        <v>40</v>
      </c>
      <c r="H83" s="9">
        <v>40</v>
      </c>
      <c r="I83" s="15">
        <v>0.1</v>
      </c>
      <c r="J83" s="9">
        <v>8</v>
      </c>
      <c r="K83" s="17" t="s">
        <v>69</v>
      </c>
      <c r="L83" s="17" t="s">
        <v>69</v>
      </c>
      <c r="M83" s="17" t="s">
        <v>69</v>
      </c>
      <c r="N83" s="17" t="s">
        <v>69</v>
      </c>
      <c r="O83" s="17" t="s">
        <v>69</v>
      </c>
      <c r="P83" s="17">
        <v>21600</v>
      </c>
      <c r="Q83" s="18">
        <f>IF(COUNT('GA Runs'!M391:M395)=0,"",MIN('GA Runs'!M391:M395))</f>
        <v>42160.591</v>
      </c>
      <c r="R83" s="18">
        <f>IF($Q83="","",INDEX('GA Runs'!E391:E395,MATCH($Q83,'GA Runs'!M391:M395,0)))</f>
        <v>2560.8139999999999</v>
      </c>
      <c r="S83" s="18">
        <f>IF($Q83="","",INDEX('GA Runs'!F391:F395,MATCH($Q83,'GA Runs'!M391:M395,0)))</f>
        <v>1599.777</v>
      </c>
      <c r="T83" s="18">
        <f>IF($Q83="","",INDEX('GA Runs'!G391:G395,MATCH($Q83,'GA Runs'!M391:M395,0)))</f>
        <v>38000</v>
      </c>
      <c r="U83" s="18">
        <f>IF($Q83="","",INDEX('GA Runs'!H391:H395,MATCH($Q83,'GA Runs'!M391:M395,0)))</f>
        <v>38</v>
      </c>
      <c r="V83" s="18">
        <f>IF($Q83="","",INDEX('GA Runs'!I391:I395,MATCH($Q83,'GA Runs'!M391:M395,0)))</f>
        <v>103.495</v>
      </c>
      <c r="W83" s="18" t="str">
        <f t="shared" si="12"/>
        <v/>
      </c>
      <c r="X83" s="18">
        <f>IF(COUNT('GA Runs'!M391:M395)=0,"",AVERAGE('GA Runs'!M391:M395))</f>
        <v>47109.436000000002</v>
      </c>
      <c r="Y83" s="18">
        <f>IF(COUNT('GA Runs'!M391:M395)&lt;2,"",_xlfn.STDEV.S('GA Runs'!M391:M395))</f>
        <v>2975.1610827885434</v>
      </c>
      <c r="Z83" s="22">
        <f>COUNT('GA Runs'!M391:M395)</f>
        <v>5</v>
      </c>
      <c r="AA83" s="18">
        <f>IF($Z83=0,"",AVERAGEIF('GA Runs'!M391:M395,"&gt;=0",'GA Runs'!I391:I395))</f>
        <v>101.0562</v>
      </c>
      <c r="AB83" s="20">
        <v>49189.2</v>
      </c>
      <c r="AC83" s="20">
        <v>2679.6</v>
      </c>
      <c r="AD83" s="20">
        <v>1509.5</v>
      </c>
      <c r="AE83" s="20">
        <v>45000</v>
      </c>
      <c r="AF83" s="20">
        <v>12</v>
      </c>
      <c r="AG83" s="20">
        <v>76.56</v>
      </c>
      <c r="AH83" s="18">
        <f t="shared" si="13"/>
        <v>4.4329750709061075</v>
      </c>
      <c r="AI83" s="18">
        <f t="shared" si="14"/>
        <v>52.5</v>
      </c>
      <c r="AJ83" s="18">
        <f t="shared" si="15"/>
        <v>85</v>
      </c>
      <c r="AK83" s="18">
        <f t="shared" si="16"/>
        <v>-32.5</v>
      </c>
      <c r="AL83" s="10" t="str">
        <f t="shared" si="17"/>
        <v>OK</v>
      </c>
      <c r="AM83" s="11"/>
    </row>
    <row r="84" spans="1:39">
      <c r="A84" s="9" t="s">
        <v>132</v>
      </c>
      <c r="B84" s="9">
        <v>73</v>
      </c>
      <c r="C84" s="9">
        <v>80</v>
      </c>
      <c r="D84" s="9">
        <v>12</v>
      </c>
      <c r="E84" s="9">
        <v>4</v>
      </c>
      <c r="F84" s="15">
        <v>0.75</v>
      </c>
      <c r="G84" s="9">
        <v>60</v>
      </c>
      <c r="H84" s="9">
        <v>20</v>
      </c>
      <c r="I84" s="15">
        <v>0.1</v>
      </c>
      <c r="J84" s="9">
        <v>8</v>
      </c>
      <c r="K84" s="17" t="s">
        <v>69</v>
      </c>
      <c r="L84" s="17" t="s">
        <v>69</v>
      </c>
      <c r="M84" s="17" t="s">
        <v>69</v>
      </c>
      <c r="N84" s="17" t="s">
        <v>69</v>
      </c>
      <c r="O84" s="17" t="s">
        <v>69</v>
      </c>
      <c r="P84" s="17">
        <v>21600</v>
      </c>
      <c r="Q84" s="18">
        <f>IF(COUNT('GA Runs'!M396:M400)=0,"",MIN('GA Runs'!M396:M400))</f>
        <v>45920.080999999998</v>
      </c>
      <c r="R84" s="18">
        <f>IF($Q84="","",INDEX('GA Runs'!E396:E400,MATCH($Q84,'GA Runs'!M396:M400,0)))</f>
        <v>3316.433</v>
      </c>
      <c r="S84" s="18">
        <f>IF($Q84="","",INDEX('GA Runs'!F396:F400,MATCH($Q84,'GA Runs'!M396:M400,0)))</f>
        <v>1603.6479999999999</v>
      </c>
      <c r="T84" s="18">
        <f>IF($Q84="","",INDEX('GA Runs'!G396:G400,MATCH($Q84,'GA Runs'!M396:M400,0)))</f>
        <v>41000</v>
      </c>
      <c r="U84" s="18">
        <f>IF($Q84="","",INDEX('GA Runs'!H396:H400,MATCH($Q84,'GA Runs'!M396:M400,0)))</f>
        <v>41</v>
      </c>
      <c r="V84" s="18">
        <f>IF($Q84="","",INDEX('GA Runs'!I396:I400,MATCH($Q84,'GA Runs'!M396:M400,0)))</f>
        <v>98.296999999999997</v>
      </c>
      <c r="W84" s="18" t="str">
        <f t="shared" si="12"/>
        <v/>
      </c>
      <c r="X84" s="18">
        <f>IF(COUNT('GA Runs'!M396:M400)=0,"",AVERAGE('GA Runs'!M396:M400))</f>
        <v>49120.501800000005</v>
      </c>
      <c r="Y84" s="18">
        <f>IF(COUNT('GA Runs'!M396:M400)&lt;2,"",_xlfn.STDEV.S('GA Runs'!M396:M400))</f>
        <v>2122.9557606821909</v>
      </c>
      <c r="Z84" s="22">
        <f>COUNT('GA Runs'!M396:M400)</f>
        <v>5</v>
      </c>
      <c r="AA84" s="18">
        <f>IF($Z84=0,"",AVERAGEIF('GA Runs'!M396:M400,"&gt;=0",'GA Runs'!I396:I400))</f>
        <v>97.537400000000005</v>
      </c>
      <c r="AB84" s="20">
        <v>48350.9</v>
      </c>
      <c r="AC84" s="20">
        <v>3958.4</v>
      </c>
      <c r="AD84" s="20">
        <v>1392.5</v>
      </c>
      <c r="AE84" s="20">
        <v>43000</v>
      </c>
      <c r="AF84" s="20">
        <v>12</v>
      </c>
      <c r="AG84" s="20">
        <v>56.22</v>
      </c>
      <c r="AH84" s="18">
        <f t="shared" si="13"/>
        <v>16.217840541632984</v>
      </c>
      <c r="AI84" s="18">
        <f t="shared" si="14"/>
        <v>48.75</v>
      </c>
      <c r="AJ84" s="18">
        <f t="shared" si="15"/>
        <v>85</v>
      </c>
      <c r="AK84" s="18">
        <f t="shared" si="16"/>
        <v>-36.25</v>
      </c>
      <c r="AL84" s="10" t="str">
        <f t="shared" si="17"/>
        <v>OK</v>
      </c>
      <c r="AM84" s="11"/>
    </row>
    <row r="85" spans="1:39">
      <c r="A85" s="9" t="s">
        <v>133</v>
      </c>
      <c r="B85" s="9">
        <v>73</v>
      </c>
      <c r="C85" s="9">
        <v>80</v>
      </c>
      <c r="D85" s="9">
        <v>12</v>
      </c>
      <c r="E85" s="9">
        <v>4</v>
      </c>
      <c r="F85" s="15">
        <v>0.9</v>
      </c>
      <c r="G85" s="9">
        <v>72</v>
      </c>
      <c r="H85" s="9">
        <v>8</v>
      </c>
      <c r="I85" s="15">
        <v>0.1</v>
      </c>
      <c r="J85" s="9">
        <v>8</v>
      </c>
      <c r="K85" s="17" t="s">
        <v>69</v>
      </c>
      <c r="L85" s="17" t="s">
        <v>69</v>
      </c>
      <c r="M85" s="17" t="s">
        <v>69</v>
      </c>
      <c r="N85" s="17" t="s">
        <v>69</v>
      </c>
      <c r="O85" s="17" t="s">
        <v>69</v>
      </c>
      <c r="P85" s="17">
        <v>21600</v>
      </c>
      <c r="Q85" s="18">
        <f>IF(COUNT('GA Runs'!M401:M405)=0,"",MIN('GA Runs'!M401:M405))</f>
        <v>43830.983</v>
      </c>
      <c r="R85" s="18">
        <f>IF($Q85="","",INDEX('GA Runs'!E401:E405,MATCH($Q85,'GA Runs'!M401:M405,0)))</f>
        <v>4363.9399999999996</v>
      </c>
      <c r="S85" s="18">
        <f>IF($Q85="","",INDEX('GA Runs'!F401:F405,MATCH($Q85,'GA Runs'!M401:M405,0)))</f>
        <v>1467.0419999999999</v>
      </c>
      <c r="T85" s="18">
        <f>IF($Q85="","",INDEX('GA Runs'!G401:G405,MATCH($Q85,'GA Runs'!M401:M405,0)))</f>
        <v>38000</v>
      </c>
      <c r="U85" s="18">
        <f>IF($Q85="","",INDEX('GA Runs'!H401:H405,MATCH($Q85,'GA Runs'!M401:M405,0)))</f>
        <v>38</v>
      </c>
      <c r="V85" s="18">
        <f>IF($Q85="","",INDEX('GA Runs'!I401:I405,MATCH($Q85,'GA Runs'!M401:M405,0)))</f>
        <v>99.058000000000007</v>
      </c>
      <c r="W85" s="18" t="str">
        <f t="shared" si="12"/>
        <v/>
      </c>
      <c r="X85" s="18">
        <f>IF(COUNT('GA Runs'!M401:M405)=0,"",AVERAGE('GA Runs'!M401:M405))</f>
        <v>47479.709199999998</v>
      </c>
      <c r="Y85" s="18">
        <f>IF(COUNT('GA Runs'!M401:M405)&lt;2,"",_xlfn.STDEV.S('GA Runs'!M401:M405))</f>
        <v>2442.7320212961763</v>
      </c>
      <c r="Z85" s="22">
        <f>COUNT('GA Runs'!M401:M405)</f>
        <v>5</v>
      </c>
      <c r="AA85" s="18">
        <f>IF($Z85=0,"",AVERAGEIF('GA Runs'!M401:M405,"&gt;=0",'GA Runs'!I401:I405))</f>
        <v>98.924000000000007</v>
      </c>
      <c r="AB85" s="20">
        <v>48840.5</v>
      </c>
      <c r="AC85" s="20">
        <v>5459.7</v>
      </c>
      <c r="AD85" s="20">
        <v>1380.8</v>
      </c>
      <c r="AE85" s="20">
        <v>42000</v>
      </c>
      <c r="AF85" s="20">
        <v>12</v>
      </c>
      <c r="AG85" s="20">
        <v>54.18</v>
      </c>
      <c r="AH85" s="18">
        <f t="shared" si="13"/>
        <v>20.06996721431581</v>
      </c>
      <c r="AI85" s="18">
        <f t="shared" si="14"/>
        <v>52.5</v>
      </c>
      <c r="AJ85" s="18">
        <f t="shared" si="15"/>
        <v>85</v>
      </c>
      <c r="AK85" s="18">
        <f t="shared" si="16"/>
        <v>-32.5</v>
      </c>
      <c r="AL85" s="10" t="str">
        <f t="shared" si="17"/>
        <v>OK</v>
      </c>
      <c r="AM85" s="11"/>
    </row>
    <row r="86" spans="1:39">
      <c r="A86" s="9" t="s">
        <v>134</v>
      </c>
      <c r="B86" s="9">
        <v>13</v>
      </c>
      <c r="C86" s="9">
        <v>80</v>
      </c>
      <c r="D86" s="9">
        <v>12</v>
      </c>
      <c r="E86" s="9">
        <v>4</v>
      </c>
      <c r="F86" s="15">
        <v>0.1</v>
      </c>
      <c r="G86" s="9">
        <v>8</v>
      </c>
      <c r="H86" s="9">
        <v>72</v>
      </c>
      <c r="I86" s="15">
        <v>0.1</v>
      </c>
      <c r="J86" s="9">
        <v>8</v>
      </c>
      <c r="K86" s="17" t="s">
        <v>69</v>
      </c>
      <c r="L86" s="17" t="s">
        <v>69</v>
      </c>
      <c r="M86" s="17" t="s">
        <v>69</v>
      </c>
      <c r="N86" s="17" t="s">
        <v>69</v>
      </c>
      <c r="O86" s="17" t="s">
        <v>69</v>
      </c>
      <c r="P86" s="17">
        <v>21600</v>
      </c>
      <c r="Q86" s="18">
        <f>IF(COUNT('GA Runs'!M406:M410)=0,"",MIN('GA Runs'!M406:M410))</f>
        <v>38799.665999999997</v>
      </c>
      <c r="R86" s="18">
        <f>IF($Q86="","",INDEX('GA Runs'!E406:E410,MATCH($Q86,'GA Runs'!M406:M410,0)))</f>
        <v>190.63399999999999</v>
      </c>
      <c r="S86" s="18">
        <f>IF($Q86="","",INDEX('GA Runs'!F406:F410,MATCH($Q86,'GA Runs'!M406:M410,0)))</f>
        <v>1609.0319999999999</v>
      </c>
      <c r="T86" s="18">
        <f>IF($Q86="","",INDEX('GA Runs'!G406:G410,MATCH($Q86,'GA Runs'!M406:M410,0)))</f>
        <v>37000</v>
      </c>
      <c r="U86" s="18">
        <f>IF($Q86="","",INDEX('GA Runs'!H406:H410,MATCH($Q86,'GA Runs'!M406:M410,0)))</f>
        <v>37</v>
      </c>
      <c r="V86" s="18">
        <f>IF($Q86="","",INDEX('GA Runs'!I406:I410,MATCH($Q86,'GA Runs'!M406:M410,0)))</f>
        <v>86.94</v>
      </c>
      <c r="W86" s="18" t="str">
        <f t="shared" si="12"/>
        <v/>
      </c>
      <c r="X86" s="18">
        <f>IF(COUNT('GA Runs'!M406:M410)=0,"",AVERAGE('GA Runs'!M406:M410))</f>
        <v>41930.334400000007</v>
      </c>
      <c r="Y86" s="18">
        <f>IF(COUNT('GA Runs'!M406:M410)&lt;2,"",_xlfn.STDEV.S('GA Runs'!M406:M410))</f>
        <v>2527.3351805529878</v>
      </c>
      <c r="Z86" s="22">
        <f>COUNT('GA Runs'!M406:M410)</f>
        <v>5</v>
      </c>
      <c r="AA86" s="18">
        <f>IF($Z86=0,"",AVERAGEIF('GA Runs'!M406:M410,"&gt;=0",'GA Runs'!I406:I410))</f>
        <v>88.6678</v>
      </c>
      <c r="AB86" s="20">
        <v>34055.1</v>
      </c>
      <c r="AC86" s="20">
        <v>404.5</v>
      </c>
      <c r="AD86" s="20">
        <v>1650.6</v>
      </c>
      <c r="AE86" s="20">
        <v>32000</v>
      </c>
      <c r="AF86" s="20">
        <v>9</v>
      </c>
      <c r="AG86" s="20">
        <v>94.78</v>
      </c>
      <c r="AH86" s="18">
        <f t="shared" si="13"/>
        <v>52.871693448702104</v>
      </c>
      <c r="AI86" s="18">
        <f t="shared" si="14"/>
        <v>53.75</v>
      </c>
      <c r="AJ86" s="18">
        <f t="shared" si="15"/>
        <v>88.75</v>
      </c>
      <c r="AK86" s="18">
        <f t="shared" si="16"/>
        <v>-35</v>
      </c>
      <c r="AL86" s="10" t="str">
        <f t="shared" si="17"/>
        <v>OK</v>
      </c>
      <c r="AM86" s="11"/>
    </row>
    <row r="87" spans="1:39">
      <c r="A87" s="9" t="s">
        <v>135</v>
      </c>
      <c r="B87" s="9">
        <v>13</v>
      </c>
      <c r="C87" s="9">
        <v>80</v>
      </c>
      <c r="D87" s="9">
        <v>12</v>
      </c>
      <c r="E87" s="9">
        <v>4</v>
      </c>
      <c r="F87" s="15">
        <v>0.25</v>
      </c>
      <c r="G87" s="9">
        <v>20</v>
      </c>
      <c r="H87" s="9">
        <v>60</v>
      </c>
      <c r="I87" s="15">
        <v>0.1</v>
      </c>
      <c r="J87" s="9">
        <v>8</v>
      </c>
      <c r="K87" s="17" t="s">
        <v>69</v>
      </c>
      <c r="L87" s="17" t="s">
        <v>69</v>
      </c>
      <c r="M87" s="17" t="s">
        <v>69</v>
      </c>
      <c r="N87" s="17" t="s">
        <v>69</v>
      </c>
      <c r="O87" s="17" t="s">
        <v>69</v>
      </c>
      <c r="P87" s="17">
        <v>21600</v>
      </c>
      <c r="Q87" s="18">
        <f>IF(COUNT('GA Runs'!M411:M415)=0,"",MIN('GA Runs'!M411:M415))</f>
        <v>41420.322</v>
      </c>
      <c r="R87" s="18">
        <f>IF($Q87="","",INDEX('GA Runs'!E411:E415,MATCH($Q87,'GA Runs'!M411:M415,0)))</f>
        <v>775.96600000000001</v>
      </c>
      <c r="S87" s="18">
        <f>IF($Q87="","",INDEX('GA Runs'!F411:F415,MATCH($Q87,'GA Runs'!M411:M415,0)))</f>
        <v>1644.356</v>
      </c>
      <c r="T87" s="18">
        <f>IF($Q87="","",INDEX('GA Runs'!G411:G415,MATCH($Q87,'GA Runs'!M411:M415,0)))</f>
        <v>39000</v>
      </c>
      <c r="U87" s="18">
        <f>IF($Q87="","",INDEX('GA Runs'!H411:H415,MATCH($Q87,'GA Runs'!M411:M415,0)))</f>
        <v>39</v>
      </c>
      <c r="V87" s="18">
        <f>IF($Q87="","",INDEX('GA Runs'!I411:I415,MATCH($Q87,'GA Runs'!M411:M415,0)))</f>
        <v>100.601</v>
      </c>
      <c r="W87" s="18" t="str">
        <f t="shared" si="12"/>
        <v/>
      </c>
      <c r="X87" s="18">
        <f>IF(COUNT('GA Runs'!M411:M415)=0,"",AVERAGE('GA Runs'!M411:M415))</f>
        <v>44771.972999999998</v>
      </c>
      <c r="Y87" s="18">
        <f>IF(COUNT('GA Runs'!M411:M415)&lt;2,"",_xlfn.STDEV.S('GA Runs'!M411:M415))</f>
        <v>2940.3667426729271</v>
      </c>
      <c r="Z87" s="22">
        <f>COUNT('GA Runs'!M411:M415)</f>
        <v>5</v>
      </c>
      <c r="AA87" s="18">
        <f>IF($Z87=0,"",AVERAGEIF('GA Runs'!M411:M415,"&gt;=0",'GA Runs'!I411:I415))</f>
        <v>96.500799999999998</v>
      </c>
      <c r="AB87" s="20">
        <v>37942</v>
      </c>
      <c r="AC87" s="20">
        <v>1306.2</v>
      </c>
      <c r="AD87" s="20">
        <v>1635.8</v>
      </c>
      <c r="AE87" s="20">
        <v>35000</v>
      </c>
      <c r="AF87" s="20">
        <v>10</v>
      </c>
      <c r="AG87" s="20">
        <v>101.45</v>
      </c>
      <c r="AH87" s="18">
        <f t="shared" si="13"/>
        <v>40.593630378196295</v>
      </c>
      <c r="AI87" s="18">
        <f t="shared" si="14"/>
        <v>51.25</v>
      </c>
      <c r="AJ87" s="18">
        <f t="shared" si="15"/>
        <v>87.5</v>
      </c>
      <c r="AK87" s="18">
        <f t="shared" si="16"/>
        <v>-36.25</v>
      </c>
      <c r="AL87" s="10" t="str">
        <f t="shared" si="17"/>
        <v>OK</v>
      </c>
      <c r="AM87" s="11"/>
    </row>
    <row r="88" spans="1:39">
      <c r="A88" s="9" t="s">
        <v>136</v>
      </c>
      <c r="B88" s="9">
        <v>13</v>
      </c>
      <c r="C88" s="9">
        <v>80</v>
      </c>
      <c r="D88" s="9">
        <v>12</v>
      </c>
      <c r="E88" s="9">
        <v>4</v>
      </c>
      <c r="F88" s="15">
        <v>0.5</v>
      </c>
      <c r="G88" s="9">
        <v>40</v>
      </c>
      <c r="H88" s="9">
        <v>40</v>
      </c>
      <c r="I88" s="15">
        <v>0.1</v>
      </c>
      <c r="J88" s="9">
        <v>8</v>
      </c>
      <c r="K88" s="17" t="s">
        <v>69</v>
      </c>
      <c r="L88" s="17" t="s">
        <v>69</v>
      </c>
      <c r="M88" s="17" t="s">
        <v>69</v>
      </c>
      <c r="N88" s="17" t="s">
        <v>69</v>
      </c>
      <c r="O88" s="17" t="s">
        <v>69</v>
      </c>
      <c r="P88" s="17">
        <v>21600</v>
      </c>
      <c r="Q88" s="18">
        <f>IF(COUNT('GA Runs'!M416:M420)=0,"",MIN('GA Runs'!M416:M420))</f>
        <v>39746.938000000002</v>
      </c>
      <c r="R88" s="18">
        <f>IF($Q88="","",INDEX('GA Runs'!E416:E420,MATCH($Q88,'GA Runs'!M416:M420,0)))</f>
        <v>2997.759</v>
      </c>
      <c r="S88" s="18">
        <f>IF($Q88="","",INDEX('GA Runs'!F416:F420,MATCH($Q88,'GA Runs'!M416:M420,0)))</f>
        <v>1749.1780000000001</v>
      </c>
      <c r="T88" s="18">
        <f>IF($Q88="","",INDEX('GA Runs'!G416:G420,MATCH($Q88,'GA Runs'!M416:M420,0)))</f>
        <v>35000</v>
      </c>
      <c r="U88" s="18">
        <f>IF($Q88="","",INDEX('GA Runs'!H416:H420,MATCH($Q88,'GA Runs'!M416:M420,0)))</f>
        <v>35</v>
      </c>
      <c r="V88" s="18">
        <f>IF($Q88="","",INDEX('GA Runs'!I416:I420,MATCH($Q88,'GA Runs'!M416:M420,0)))</f>
        <v>97.665999999999997</v>
      </c>
      <c r="W88" s="18" t="str">
        <f t="shared" si="12"/>
        <v/>
      </c>
      <c r="X88" s="18">
        <f>IF(COUNT('GA Runs'!M416:M420)=0,"",AVERAGE('GA Runs'!M416:M420))</f>
        <v>41755.887999999999</v>
      </c>
      <c r="Y88" s="18">
        <f>IF(COUNT('GA Runs'!M416:M420)&lt;2,"",_xlfn.STDEV.S('GA Runs'!M416:M420))</f>
        <v>1766.6383178377216</v>
      </c>
      <c r="Z88" s="22">
        <f>COUNT('GA Runs'!M416:M420)</f>
        <v>5</v>
      </c>
      <c r="AA88" s="18">
        <f>IF($Z88=0,"",AVERAGEIF('GA Runs'!M416:M420,"&gt;=0",'GA Runs'!I416:I420))</f>
        <v>95.009799999999998</v>
      </c>
      <c r="AB88" s="20">
        <v>41009.5</v>
      </c>
      <c r="AC88" s="20">
        <v>3203.3</v>
      </c>
      <c r="AD88" s="20">
        <v>1806.2</v>
      </c>
      <c r="AE88" s="20">
        <v>36000</v>
      </c>
      <c r="AF88" s="20">
        <v>10</v>
      </c>
      <c r="AG88" s="20">
        <v>92.34</v>
      </c>
      <c r="AH88" s="18">
        <f t="shared" si="13"/>
        <v>6.4165391939562371</v>
      </c>
      <c r="AI88" s="18">
        <f t="shared" si="14"/>
        <v>56.25</v>
      </c>
      <c r="AJ88" s="18">
        <f t="shared" si="15"/>
        <v>87.5</v>
      </c>
      <c r="AK88" s="18">
        <f t="shared" si="16"/>
        <v>-31.25</v>
      </c>
      <c r="AL88" s="10" t="str">
        <f t="shared" si="17"/>
        <v>OK</v>
      </c>
      <c r="AM88" s="11"/>
    </row>
    <row r="89" spans="1:39">
      <c r="A89" s="9" t="s">
        <v>137</v>
      </c>
      <c r="B89" s="9">
        <v>13</v>
      </c>
      <c r="C89" s="9">
        <v>80</v>
      </c>
      <c r="D89" s="9">
        <v>12</v>
      </c>
      <c r="E89" s="9">
        <v>4</v>
      </c>
      <c r="F89" s="15">
        <v>0.75</v>
      </c>
      <c r="G89" s="9">
        <v>60</v>
      </c>
      <c r="H89" s="9">
        <v>20</v>
      </c>
      <c r="I89" s="15">
        <v>0.1</v>
      </c>
      <c r="J89" s="9">
        <v>8</v>
      </c>
      <c r="K89" s="17" t="s">
        <v>69</v>
      </c>
      <c r="L89" s="17" t="s">
        <v>69</v>
      </c>
      <c r="M89" s="17" t="s">
        <v>69</v>
      </c>
      <c r="N89" s="17" t="s">
        <v>69</v>
      </c>
      <c r="O89" s="17" t="s">
        <v>69</v>
      </c>
      <c r="P89" s="17">
        <v>21600</v>
      </c>
      <c r="Q89" s="18">
        <f>IF(COUNT('GA Runs'!M421:M425)=0,"",MIN('GA Runs'!M421:M425))</f>
        <v>39065.423999999999</v>
      </c>
      <c r="R89" s="18">
        <f>IF($Q89="","",INDEX('GA Runs'!E421:E425,MATCH($Q89,'GA Runs'!M421:M425,0)))</f>
        <v>3266.712</v>
      </c>
      <c r="S89" s="18">
        <f>IF($Q89="","",INDEX('GA Runs'!F421:F425,MATCH($Q89,'GA Runs'!M421:M425,0)))</f>
        <v>1798.712</v>
      </c>
      <c r="T89" s="18">
        <f>IF($Q89="","",INDEX('GA Runs'!G421:G425,MATCH($Q89,'GA Runs'!M421:M425,0)))</f>
        <v>34000</v>
      </c>
      <c r="U89" s="18">
        <f>IF($Q89="","",INDEX('GA Runs'!H421:H425,MATCH($Q89,'GA Runs'!M421:M425,0)))</f>
        <v>34</v>
      </c>
      <c r="V89" s="18">
        <f>IF($Q89="","",INDEX('GA Runs'!I421:I425,MATCH($Q89,'GA Runs'!M421:M425,0)))</f>
        <v>96.024000000000001</v>
      </c>
      <c r="W89" s="18" t="str">
        <f t="shared" si="12"/>
        <v/>
      </c>
      <c r="X89" s="18">
        <f>IF(COUNT('GA Runs'!M421:M425)=0,"",AVERAGE('GA Runs'!M421:M425))</f>
        <v>41095.915599999993</v>
      </c>
      <c r="Y89" s="18">
        <f>IF(COUNT('GA Runs'!M421:M425)&lt;2,"",_xlfn.STDEV.S('GA Runs'!M421:M425))</f>
        <v>2176.6820789890976</v>
      </c>
      <c r="Z89" s="22">
        <f>COUNT('GA Runs'!M421:M425)</f>
        <v>5</v>
      </c>
      <c r="AA89" s="18">
        <f>IF($Z89=0,"",AVERAGEIF('GA Runs'!M421:M425,"&gt;=0",'GA Runs'!I421:I425))</f>
        <v>93.886200000000002</v>
      </c>
      <c r="AB89" s="20">
        <v>43060.6</v>
      </c>
      <c r="AC89" s="20">
        <v>4471.5</v>
      </c>
      <c r="AD89" s="20">
        <v>1589.1</v>
      </c>
      <c r="AE89" s="20">
        <v>37000</v>
      </c>
      <c r="AF89" s="20">
        <v>10</v>
      </c>
      <c r="AG89" s="20">
        <v>70.27</v>
      </c>
      <c r="AH89" s="18">
        <f t="shared" si="13"/>
        <v>26.943710164374373</v>
      </c>
      <c r="AI89" s="18">
        <f t="shared" si="14"/>
        <v>57.5</v>
      </c>
      <c r="AJ89" s="18">
        <f t="shared" si="15"/>
        <v>87.5</v>
      </c>
      <c r="AK89" s="18">
        <f t="shared" si="16"/>
        <v>-30</v>
      </c>
      <c r="AL89" s="10" t="str">
        <f t="shared" si="17"/>
        <v>OK</v>
      </c>
      <c r="AM89" s="11"/>
    </row>
    <row r="90" spans="1:39">
      <c r="A90" s="9" t="s">
        <v>138</v>
      </c>
      <c r="B90" s="9">
        <v>13</v>
      </c>
      <c r="C90" s="9">
        <v>80</v>
      </c>
      <c r="D90" s="9">
        <v>12</v>
      </c>
      <c r="E90" s="9">
        <v>4</v>
      </c>
      <c r="F90" s="15">
        <v>0.9</v>
      </c>
      <c r="G90" s="9">
        <v>72</v>
      </c>
      <c r="H90" s="9">
        <v>8</v>
      </c>
      <c r="I90" s="15">
        <v>0.1</v>
      </c>
      <c r="J90" s="9">
        <v>8</v>
      </c>
      <c r="K90" s="17" t="s">
        <v>69</v>
      </c>
      <c r="L90" s="17" t="s">
        <v>69</v>
      </c>
      <c r="M90" s="17" t="s">
        <v>69</v>
      </c>
      <c r="N90" s="17" t="s">
        <v>69</v>
      </c>
      <c r="O90" s="17" t="s">
        <v>69</v>
      </c>
      <c r="P90" s="17">
        <v>21600</v>
      </c>
      <c r="Q90" s="18">
        <f>IF(COUNT('GA Runs'!M426:M430)=0,"",MIN('GA Runs'!M426:M430))</f>
        <v>39680.550999999999</v>
      </c>
      <c r="R90" s="18">
        <f>IF($Q90="","",INDEX('GA Runs'!E426:E430,MATCH($Q90,'GA Runs'!M426:M430,0)))</f>
        <v>3848.4609999999998</v>
      </c>
      <c r="S90" s="18">
        <f>IF($Q90="","",INDEX('GA Runs'!F426:F430,MATCH($Q90,'GA Runs'!M426:M430,0)))</f>
        <v>1832.09</v>
      </c>
      <c r="T90" s="18">
        <f>IF($Q90="","",INDEX('GA Runs'!G426:G430,MATCH($Q90,'GA Runs'!M426:M430,0)))</f>
        <v>34000</v>
      </c>
      <c r="U90" s="18">
        <f>IF($Q90="","",INDEX('GA Runs'!H426:H430,MATCH($Q90,'GA Runs'!M426:M430,0)))</f>
        <v>34</v>
      </c>
      <c r="V90" s="18">
        <f>IF($Q90="","",INDEX('GA Runs'!I426:I430,MATCH($Q90,'GA Runs'!M426:M430,0)))</f>
        <v>91.522999999999996</v>
      </c>
      <c r="W90" s="18" t="str">
        <f t="shared" si="12"/>
        <v/>
      </c>
      <c r="X90" s="18">
        <f>IF(COUNT('GA Runs'!M426:M430)=0,"",AVERAGE('GA Runs'!M426:M430))</f>
        <v>42008.606999999996</v>
      </c>
      <c r="Y90" s="18">
        <f>IF(COUNT('GA Runs'!M426:M430)&lt;2,"",_xlfn.STDEV.S('GA Runs'!M426:M430))</f>
        <v>1807.1537798603356</v>
      </c>
      <c r="Z90" s="22">
        <f>COUNT('GA Runs'!M426:M430)</f>
        <v>5</v>
      </c>
      <c r="AA90" s="18">
        <f>IF($Z90=0,"",AVERAGEIF('GA Runs'!M426:M430,"&gt;=0",'GA Runs'!I426:I430))</f>
        <v>93.403000000000006</v>
      </c>
      <c r="AB90" s="20">
        <v>45651.5</v>
      </c>
      <c r="AC90" s="20">
        <v>5223.5</v>
      </c>
      <c r="AD90" s="20">
        <v>1428</v>
      </c>
      <c r="AE90" s="20">
        <v>39000</v>
      </c>
      <c r="AF90" s="20">
        <v>11</v>
      </c>
      <c r="AG90" s="20">
        <v>50.89</v>
      </c>
      <c r="AH90" s="18">
        <f t="shared" si="13"/>
        <v>26.324093041064426</v>
      </c>
      <c r="AI90" s="18">
        <f t="shared" si="14"/>
        <v>57.5</v>
      </c>
      <c r="AJ90" s="18">
        <f t="shared" si="15"/>
        <v>86.25</v>
      </c>
      <c r="AK90" s="18">
        <f t="shared" si="16"/>
        <v>-28.75</v>
      </c>
      <c r="AL90" s="10" t="str">
        <f t="shared" si="17"/>
        <v>OK</v>
      </c>
      <c r="AM90" s="11"/>
    </row>
    <row r="91" spans="1:39">
      <c r="A91" s="9" t="s">
        <v>139</v>
      </c>
      <c r="B91" s="9">
        <v>27</v>
      </c>
      <c r="C91" s="9">
        <v>80</v>
      </c>
      <c r="D91" s="9">
        <v>12</v>
      </c>
      <c r="E91" s="9">
        <v>4</v>
      </c>
      <c r="F91" s="15">
        <v>0.1</v>
      </c>
      <c r="G91" s="9">
        <v>8</v>
      </c>
      <c r="H91" s="9">
        <v>72</v>
      </c>
      <c r="I91" s="15">
        <v>0.1</v>
      </c>
      <c r="J91" s="9">
        <v>8</v>
      </c>
      <c r="K91" s="17" t="s">
        <v>69</v>
      </c>
      <c r="L91" s="17" t="s">
        <v>69</v>
      </c>
      <c r="M91" s="17" t="s">
        <v>69</v>
      </c>
      <c r="N91" s="17" t="s">
        <v>69</v>
      </c>
      <c r="O91" s="17" t="s">
        <v>69</v>
      </c>
      <c r="P91" s="17">
        <v>21600</v>
      </c>
      <c r="Q91" s="18">
        <f>IF(COUNT('GA Runs'!M431:M435)=0,"",MIN('GA Runs'!M431:M435))</f>
        <v>32968.741999999998</v>
      </c>
      <c r="R91" s="18">
        <f>IF($Q91="","",INDEX('GA Runs'!E431:E435,MATCH($Q91,'GA Runs'!M431:M435,0)))</f>
        <v>269.69299999999998</v>
      </c>
      <c r="S91" s="18">
        <f>IF($Q91="","",INDEX('GA Runs'!F431:F435,MATCH($Q91,'GA Runs'!M431:M435,0)))</f>
        <v>1699.049</v>
      </c>
      <c r="T91" s="18">
        <f>IF($Q91="","",INDEX('GA Runs'!G431:G435,MATCH($Q91,'GA Runs'!M431:M435,0)))</f>
        <v>31000</v>
      </c>
      <c r="U91" s="18">
        <f>IF($Q91="","",INDEX('GA Runs'!H431:H435,MATCH($Q91,'GA Runs'!M431:M435,0)))</f>
        <v>31</v>
      </c>
      <c r="V91" s="18">
        <f>IF($Q91="","",INDEX('GA Runs'!I431:I435,MATCH($Q91,'GA Runs'!M431:M435,0)))</f>
        <v>99.131</v>
      </c>
      <c r="W91" s="18" t="str">
        <f t="shared" si="12"/>
        <v/>
      </c>
      <c r="X91" s="18">
        <f>IF(COUNT('GA Runs'!M431:M435)=0,"",AVERAGE('GA Runs'!M431:M435))</f>
        <v>37215.863200000007</v>
      </c>
      <c r="Y91" s="18">
        <f>IF(COUNT('GA Runs'!M431:M435)&lt;2,"",_xlfn.STDEV.S('GA Runs'!M431:M435))</f>
        <v>3493.4801053410479</v>
      </c>
      <c r="Z91" s="22">
        <f>COUNT('GA Runs'!M431:M435)</f>
        <v>5</v>
      </c>
      <c r="AA91" s="18">
        <f>IF($Z91=0,"",AVERAGEIF('GA Runs'!M431:M435,"&gt;=0",'GA Runs'!I431:I435))</f>
        <v>105.18299999999999</v>
      </c>
      <c r="AB91" s="20">
        <v>35083.300000000003</v>
      </c>
      <c r="AC91" s="20">
        <v>478.8</v>
      </c>
      <c r="AD91" s="20">
        <v>1604.5</v>
      </c>
      <c r="AE91" s="20">
        <v>33000</v>
      </c>
      <c r="AF91" s="20">
        <v>10</v>
      </c>
      <c r="AG91" s="20">
        <v>88.45</v>
      </c>
      <c r="AH91" s="18">
        <f t="shared" si="13"/>
        <v>43.673141186299091</v>
      </c>
      <c r="AI91" s="18">
        <f t="shared" si="14"/>
        <v>61.25</v>
      </c>
      <c r="AJ91" s="18">
        <f t="shared" si="15"/>
        <v>87.5</v>
      </c>
      <c r="AK91" s="18">
        <f t="shared" si="16"/>
        <v>-26.25</v>
      </c>
      <c r="AL91" s="10" t="str">
        <f t="shared" si="17"/>
        <v>OK</v>
      </c>
      <c r="AM91" s="11"/>
    </row>
    <row r="92" spans="1:39">
      <c r="A92" s="9" t="s">
        <v>140</v>
      </c>
      <c r="B92" s="9">
        <v>27</v>
      </c>
      <c r="C92" s="9">
        <v>80</v>
      </c>
      <c r="D92" s="9">
        <v>12</v>
      </c>
      <c r="E92" s="9">
        <v>4</v>
      </c>
      <c r="F92" s="15">
        <v>0.25</v>
      </c>
      <c r="G92" s="9">
        <v>20</v>
      </c>
      <c r="H92" s="9">
        <v>60</v>
      </c>
      <c r="I92" s="15">
        <v>0.1</v>
      </c>
      <c r="J92" s="9">
        <v>8</v>
      </c>
      <c r="K92" s="17" t="s">
        <v>69</v>
      </c>
      <c r="L92" s="17" t="s">
        <v>69</v>
      </c>
      <c r="M92" s="17" t="s">
        <v>69</v>
      </c>
      <c r="N92" s="17" t="s">
        <v>69</v>
      </c>
      <c r="O92" s="17" t="s">
        <v>69</v>
      </c>
      <c r="P92" s="17">
        <v>21600</v>
      </c>
      <c r="Q92" s="18">
        <f>IF(COUNT('GA Runs'!M436:M440)=0,"",MIN('GA Runs'!M436:M440))</f>
        <v>32946.851999999999</v>
      </c>
      <c r="R92" s="18">
        <f>IF($Q92="","",INDEX('GA Runs'!E436:E440,MATCH($Q92,'GA Runs'!M436:M440,0)))</f>
        <v>1293.105</v>
      </c>
      <c r="S92" s="18">
        <f>IF($Q92="","",INDEX('GA Runs'!F436:F440,MATCH($Q92,'GA Runs'!M436:M440,0)))</f>
        <v>1653.7470000000001</v>
      </c>
      <c r="T92" s="18">
        <f>IF($Q92="","",INDEX('GA Runs'!G436:G440,MATCH($Q92,'GA Runs'!M436:M440,0)))</f>
        <v>30000</v>
      </c>
      <c r="U92" s="18">
        <f>IF($Q92="","",INDEX('GA Runs'!H436:H440,MATCH($Q92,'GA Runs'!M436:M440,0)))</f>
        <v>30</v>
      </c>
      <c r="V92" s="18">
        <f>IF($Q92="","",INDEX('GA Runs'!I436:I440,MATCH($Q92,'GA Runs'!M436:M440,0)))</f>
        <v>105.48</v>
      </c>
      <c r="W92" s="18" t="str">
        <f t="shared" si="12"/>
        <v/>
      </c>
      <c r="X92" s="18">
        <f>IF(COUNT('GA Runs'!M436:M440)=0,"",AVERAGE('GA Runs'!M436:M440))</f>
        <v>39220.200799999991</v>
      </c>
      <c r="Y92" s="18">
        <f>IF(COUNT('GA Runs'!M436:M440)&lt;2,"",_xlfn.STDEV.S('GA Runs'!M436:M440))</f>
        <v>4410.100887773825</v>
      </c>
      <c r="Z92" s="22">
        <f>COUNT('GA Runs'!M436:M440)</f>
        <v>5</v>
      </c>
      <c r="AA92" s="18">
        <f>IF($Z92=0,"",AVERAGEIF('GA Runs'!M436:M440,"&gt;=0",'GA Runs'!I436:I440))</f>
        <v>104.30760000000001</v>
      </c>
      <c r="AB92" s="20">
        <v>33415.5</v>
      </c>
      <c r="AC92" s="20">
        <v>1775.9</v>
      </c>
      <c r="AD92" s="20">
        <v>1639.6</v>
      </c>
      <c r="AE92" s="20">
        <v>30000</v>
      </c>
      <c r="AF92" s="20">
        <v>9</v>
      </c>
      <c r="AG92" s="20">
        <v>123.69</v>
      </c>
      <c r="AH92" s="18">
        <f t="shared" si="13"/>
        <v>27.185933892674139</v>
      </c>
      <c r="AI92" s="18">
        <f t="shared" si="14"/>
        <v>62.5</v>
      </c>
      <c r="AJ92" s="18">
        <f t="shared" si="15"/>
        <v>88.75</v>
      </c>
      <c r="AK92" s="18">
        <f t="shared" si="16"/>
        <v>-26.25</v>
      </c>
      <c r="AL92" s="10" t="str">
        <f t="shared" si="17"/>
        <v>OK</v>
      </c>
      <c r="AM92" s="11"/>
    </row>
    <row r="93" spans="1:39">
      <c r="A93" s="9" t="s">
        <v>141</v>
      </c>
      <c r="B93" s="9">
        <v>27</v>
      </c>
      <c r="C93" s="9">
        <v>80</v>
      </c>
      <c r="D93" s="9">
        <v>12</v>
      </c>
      <c r="E93" s="9">
        <v>4</v>
      </c>
      <c r="F93" s="15">
        <v>0.5</v>
      </c>
      <c r="G93" s="9">
        <v>40</v>
      </c>
      <c r="H93" s="9">
        <v>40</v>
      </c>
      <c r="I93" s="15">
        <v>0.1</v>
      </c>
      <c r="J93" s="9">
        <v>8</v>
      </c>
      <c r="K93" s="17" t="s">
        <v>69</v>
      </c>
      <c r="L93" s="17" t="s">
        <v>69</v>
      </c>
      <c r="M93" s="17" t="s">
        <v>69</v>
      </c>
      <c r="N93" s="17" t="s">
        <v>69</v>
      </c>
      <c r="O93" s="17" t="s">
        <v>69</v>
      </c>
      <c r="P93" s="17">
        <v>21600</v>
      </c>
      <c r="Q93" s="18">
        <f>IF(COUNT('GA Runs'!M441:M445)=0,"",MIN('GA Runs'!M441:M445))</f>
        <v>35607.175000000003</v>
      </c>
      <c r="R93" s="18">
        <f>IF($Q93="","",INDEX('GA Runs'!E441:E445,MATCH($Q93,'GA Runs'!M441:M445,0)))</f>
        <v>2943.7220000000002</v>
      </c>
      <c r="S93" s="18">
        <f>IF($Q93="","",INDEX('GA Runs'!F441:F445,MATCH($Q93,'GA Runs'!M441:M445,0)))</f>
        <v>1663.454</v>
      </c>
      <c r="T93" s="18">
        <f>IF($Q93="","",INDEX('GA Runs'!G441:G445,MATCH($Q93,'GA Runs'!M441:M445,0)))</f>
        <v>31000</v>
      </c>
      <c r="U93" s="18">
        <f>IF($Q93="","",INDEX('GA Runs'!H441:H445,MATCH($Q93,'GA Runs'!M441:M445,0)))</f>
        <v>31</v>
      </c>
      <c r="V93" s="18">
        <f>IF($Q93="","",INDEX('GA Runs'!I441:I445,MATCH($Q93,'GA Runs'!M441:M445,0)))</f>
        <v>108.583</v>
      </c>
      <c r="W93" s="18" t="str">
        <f t="shared" si="12"/>
        <v/>
      </c>
      <c r="X93" s="18">
        <f>IF(COUNT('GA Runs'!M441:M445)=0,"",AVERAGE('GA Runs'!M441:M445))</f>
        <v>38122.4666</v>
      </c>
      <c r="Y93" s="18">
        <f>IF(COUNT('GA Runs'!M441:M445)&lt;2,"",_xlfn.STDEV.S('GA Runs'!M441:M445))</f>
        <v>1733.4152120090253</v>
      </c>
      <c r="Z93" s="22">
        <f>COUNT('GA Runs'!M441:M445)</f>
        <v>5</v>
      </c>
      <c r="AA93" s="18">
        <f>IF($Z93=0,"",AVERAGEIF('GA Runs'!M441:M445,"&gt;=0",'GA Runs'!I441:I445))</f>
        <v>101.59380000000002</v>
      </c>
      <c r="AB93" s="20">
        <v>38338.9</v>
      </c>
      <c r="AC93" s="20">
        <v>2830.7</v>
      </c>
      <c r="AD93" s="20">
        <v>1508.2</v>
      </c>
      <c r="AE93" s="20">
        <v>34000</v>
      </c>
      <c r="AF93" s="20">
        <v>9</v>
      </c>
      <c r="AG93" s="20">
        <v>91.72</v>
      </c>
      <c r="AH93" s="18">
        <f t="shared" si="13"/>
        <v>-3.9927226481082556</v>
      </c>
      <c r="AI93" s="18">
        <f t="shared" si="14"/>
        <v>61.25</v>
      </c>
      <c r="AJ93" s="18">
        <f t="shared" si="15"/>
        <v>88.75</v>
      </c>
      <c r="AK93" s="18">
        <f t="shared" si="16"/>
        <v>-27.5</v>
      </c>
      <c r="AL93" s="10" t="str">
        <f t="shared" si="17"/>
        <v>OK</v>
      </c>
      <c r="AM93" s="11"/>
    </row>
    <row r="94" spans="1:39">
      <c r="A94" s="9" t="s">
        <v>142</v>
      </c>
      <c r="B94" s="9">
        <v>27</v>
      </c>
      <c r="C94" s="9">
        <v>80</v>
      </c>
      <c r="D94" s="9">
        <v>12</v>
      </c>
      <c r="E94" s="9">
        <v>4</v>
      </c>
      <c r="F94" s="15">
        <v>0.75</v>
      </c>
      <c r="G94" s="9">
        <v>60</v>
      </c>
      <c r="H94" s="9">
        <v>20</v>
      </c>
      <c r="I94" s="15">
        <v>0.1</v>
      </c>
      <c r="J94" s="9">
        <v>8</v>
      </c>
      <c r="K94" s="17" t="s">
        <v>69</v>
      </c>
      <c r="L94" s="17" t="s">
        <v>69</v>
      </c>
      <c r="M94" s="17" t="s">
        <v>69</v>
      </c>
      <c r="N94" s="17" t="s">
        <v>69</v>
      </c>
      <c r="O94" s="17" t="s">
        <v>69</v>
      </c>
      <c r="P94" s="17">
        <v>21600</v>
      </c>
      <c r="Q94" s="18">
        <f>IF(COUNT('GA Runs'!M446:M450)=0,"",MIN('GA Runs'!M446:M450))</f>
        <v>36218.120000000003</v>
      </c>
      <c r="R94" s="18">
        <f>IF($Q94="","",INDEX('GA Runs'!E446:E450,MATCH($Q94,'GA Runs'!M446:M450,0)))</f>
        <v>3584.6410000000001</v>
      </c>
      <c r="S94" s="18">
        <f>IF($Q94="","",INDEX('GA Runs'!F446:F450,MATCH($Q94,'GA Runs'!M446:M450,0)))</f>
        <v>1633.479</v>
      </c>
      <c r="T94" s="18">
        <f>IF($Q94="","",INDEX('GA Runs'!G446:G450,MATCH($Q94,'GA Runs'!M446:M450,0)))</f>
        <v>31000</v>
      </c>
      <c r="U94" s="18">
        <f>IF($Q94="","",INDEX('GA Runs'!H446:H450,MATCH($Q94,'GA Runs'!M446:M450,0)))</f>
        <v>31</v>
      </c>
      <c r="V94" s="18">
        <f>IF($Q94="","",INDEX('GA Runs'!I446:I450,MATCH($Q94,'GA Runs'!M446:M450,0)))</f>
        <v>98.15</v>
      </c>
      <c r="W94" s="18" t="str">
        <f t="shared" si="12"/>
        <v/>
      </c>
      <c r="X94" s="18">
        <f>IF(COUNT('GA Runs'!M446:M450)=0,"",AVERAGE('GA Runs'!M446:M450))</f>
        <v>38952.655399999996</v>
      </c>
      <c r="Y94" s="18">
        <f>IF(COUNT('GA Runs'!M446:M450)&lt;2,"",_xlfn.STDEV.S('GA Runs'!M446:M450))</f>
        <v>3100.7691359249561</v>
      </c>
      <c r="Z94" s="22">
        <f>COUNT('GA Runs'!M446:M450)</f>
        <v>5</v>
      </c>
      <c r="AA94" s="18">
        <f>IF($Z94=0,"",AVERAGEIF('GA Runs'!M446:M450,"&gt;=0",'GA Runs'!I446:I450))</f>
        <v>94.988399999999999</v>
      </c>
      <c r="AB94" s="20">
        <v>50722.7</v>
      </c>
      <c r="AC94" s="20">
        <v>4264.5</v>
      </c>
      <c r="AD94" s="20">
        <v>1458.2</v>
      </c>
      <c r="AE94" s="20">
        <v>45000</v>
      </c>
      <c r="AF94" s="20">
        <v>13</v>
      </c>
      <c r="AG94" s="20">
        <v>65.34</v>
      </c>
      <c r="AH94" s="18">
        <f t="shared" si="13"/>
        <v>15.942291007152068</v>
      </c>
      <c r="AI94" s="18">
        <f t="shared" si="14"/>
        <v>61.25</v>
      </c>
      <c r="AJ94" s="18">
        <f t="shared" si="15"/>
        <v>83.75</v>
      </c>
      <c r="AK94" s="18">
        <f t="shared" si="16"/>
        <v>-22.5</v>
      </c>
      <c r="AL94" s="10" t="str">
        <f t="shared" si="17"/>
        <v>OK</v>
      </c>
      <c r="AM94" s="11"/>
    </row>
    <row r="95" spans="1:39">
      <c r="A95" s="9" t="s">
        <v>143</v>
      </c>
      <c r="B95" s="9">
        <v>27</v>
      </c>
      <c r="C95" s="9">
        <v>80</v>
      </c>
      <c r="D95" s="9">
        <v>12</v>
      </c>
      <c r="E95" s="9">
        <v>4</v>
      </c>
      <c r="F95" s="15">
        <v>0.9</v>
      </c>
      <c r="G95" s="9">
        <v>72</v>
      </c>
      <c r="H95" s="9">
        <v>8</v>
      </c>
      <c r="I95" s="15">
        <v>0.1</v>
      </c>
      <c r="J95" s="9">
        <v>8</v>
      </c>
      <c r="K95" s="17" t="s">
        <v>69</v>
      </c>
      <c r="L95" s="17" t="s">
        <v>69</v>
      </c>
      <c r="M95" s="17" t="s">
        <v>69</v>
      </c>
      <c r="N95" s="17" t="s">
        <v>69</v>
      </c>
      <c r="O95" s="17" t="s">
        <v>69</v>
      </c>
      <c r="P95" s="17">
        <v>21600</v>
      </c>
      <c r="Q95" s="18">
        <f>IF(COUNT('GA Runs'!M451:M455)=0,"",MIN('GA Runs'!M451:M455))</f>
        <v>35116.709000000003</v>
      </c>
      <c r="R95" s="18">
        <f>IF($Q95="","",INDEX('GA Runs'!E451:E455,MATCH($Q95,'GA Runs'!M451:M455,0)))</f>
        <v>4443.6049999999996</v>
      </c>
      <c r="S95" s="18">
        <f>IF($Q95="","",INDEX('GA Runs'!F451:F455,MATCH($Q95,'GA Runs'!M451:M455,0)))</f>
        <v>1673.105</v>
      </c>
      <c r="T95" s="18">
        <f>IF($Q95="","",INDEX('GA Runs'!G451:G455,MATCH($Q95,'GA Runs'!M451:M455,0)))</f>
        <v>29000</v>
      </c>
      <c r="U95" s="18">
        <f>IF($Q95="","",INDEX('GA Runs'!H451:H455,MATCH($Q95,'GA Runs'!M451:M455,0)))</f>
        <v>29</v>
      </c>
      <c r="V95" s="18">
        <f>IF($Q95="","",INDEX('GA Runs'!I451:I455,MATCH($Q95,'GA Runs'!M451:M455,0)))</f>
        <v>93.975999999999999</v>
      </c>
      <c r="W95" s="18" t="str">
        <f t="shared" si="12"/>
        <v/>
      </c>
      <c r="X95" s="18">
        <f>IF(COUNT('GA Runs'!M451:M455)=0,"",AVERAGE('GA Runs'!M451:M455))</f>
        <v>36461.096400000002</v>
      </c>
      <c r="Y95" s="18">
        <f>IF(COUNT('GA Runs'!M451:M455)&lt;2,"",_xlfn.STDEV.S('GA Runs'!M451:M455))</f>
        <v>950.74945507494135</v>
      </c>
      <c r="Z95" s="22">
        <f>COUNT('GA Runs'!M451:M455)</f>
        <v>5</v>
      </c>
      <c r="AA95" s="18">
        <f>IF($Z95=0,"",AVERAGEIF('GA Runs'!M451:M455,"&gt;=0",'GA Runs'!I451:I455))</f>
        <v>91.682400000000001</v>
      </c>
      <c r="AB95" s="20">
        <v>42271.4</v>
      </c>
      <c r="AC95" s="20">
        <v>5845.7</v>
      </c>
      <c r="AD95" s="20">
        <v>1425.7</v>
      </c>
      <c r="AE95" s="20">
        <v>35000</v>
      </c>
      <c r="AF95" s="20">
        <v>9</v>
      </c>
      <c r="AG95" s="20">
        <v>51.56</v>
      </c>
      <c r="AH95" s="18">
        <f t="shared" si="13"/>
        <v>23.985065945908964</v>
      </c>
      <c r="AI95" s="18">
        <f t="shared" si="14"/>
        <v>63.75</v>
      </c>
      <c r="AJ95" s="18">
        <f t="shared" si="15"/>
        <v>88.75</v>
      </c>
      <c r="AK95" s="18">
        <f t="shared" si="16"/>
        <v>-25</v>
      </c>
      <c r="AL95" s="10" t="str">
        <f t="shared" si="17"/>
        <v>OK</v>
      </c>
      <c r="AM95" s="11"/>
    </row>
    <row r="96" spans="1:39">
      <c r="A96" s="9" t="s">
        <v>144</v>
      </c>
      <c r="B96" s="9">
        <v>64</v>
      </c>
      <c r="C96" s="9">
        <v>80</v>
      </c>
      <c r="D96" s="9">
        <v>12</v>
      </c>
      <c r="E96" s="9">
        <v>4</v>
      </c>
      <c r="F96" s="15">
        <v>0.1</v>
      </c>
      <c r="G96" s="9">
        <v>8</v>
      </c>
      <c r="H96" s="9">
        <v>72</v>
      </c>
      <c r="I96" s="15">
        <v>0.1</v>
      </c>
      <c r="J96" s="9">
        <v>8</v>
      </c>
      <c r="K96" s="17" t="s">
        <v>69</v>
      </c>
      <c r="L96" s="17" t="s">
        <v>69</v>
      </c>
      <c r="M96" s="17" t="s">
        <v>69</v>
      </c>
      <c r="N96" s="17" t="s">
        <v>69</v>
      </c>
      <c r="O96" s="17" t="s">
        <v>69</v>
      </c>
      <c r="P96" s="17">
        <v>21600</v>
      </c>
      <c r="Q96" s="18">
        <f>IF(COUNT('GA Runs'!M456:M460)=0,"",MIN('GA Runs'!M456:M460))</f>
        <v>24722.965</v>
      </c>
      <c r="R96" s="18">
        <f>IF($Q96="","",INDEX('GA Runs'!E456:E460,MATCH($Q96,'GA Runs'!M456:M460,0)))</f>
        <v>732.36400000000003</v>
      </c>
      <c r="S96" s="18">
        <f>IF($Q96="","",INDEX('GA Runs'!F456:F460,MATCH($Q96,'GA Runs'!M456:M460,0)))</f>
        <v>1990.6020000000001</v>
      </c>
      <c r="T96" s="18">
        <f>IF($Q96="","",INDEX('GA Runs'!G456:G460,MATCH($Q96,'GA Runs'!M456:M460,0)))</f>
        <v>22000</v>
      </c>
      <c r="U96" s="18">
        <f>IF($Q96="","",INDEX('GA Runs'!H456:H460,MATCH($Q96,'GA Runs'!M456:M460,0)))</f>
        <v>22</v>
      </c>
      <c r="V96" s="18">
        <f>IF($Q96="","",INDEX('GA Runs'!I456:I460,MATCH($Q96,'GA Runs'!M456:M460,0)))</f>
        <v>108.27800000000001</v>
      </c>
      <c r="W96" s="18" t="str">
        <f t="shared" si="12"/>
        <v/>
      </c>
      <c r="X96" s="18">
        <f>IF(COUNT('GA Runs'!M456:M460)=0,"",AVERAGE('GA Runs'!M456:M460))</f>
        <v>26351.879000000004</v>
      </c>
      <c r="Y96" s="18">
        <f>IF(COUNT('GA Runs'!M456:M460)&lt;2,"",_xlfn.STDEV.S('GA Runs'!M456:M460))</f>
        <v>1462.074054880258</v>
      </c>
      <c r="Z96" s="22">
        <f>COUNT('GA Runs'!M456:M460)</f>
        <v>5</v>
      </c>
      <c r="AA96" s="18">
        <f>IF($Z96=0,"",AVERAGEIF('GA Runs'!M456:M460,"&gt;=0",'GA Runs'!I456:I460))</f>
        <v>107.0664</v>
      </c>
      <c r="AB96" s="20">
        <v>21600</v>
      </c>
      <c r="AC96" s="20">
        <v>808.9</v>
      </c>
      <c r="AD96" s="20">
        <v>1791.1</v>
      </c>
      <c r="AE96" s="20">
        <v>19000</v>
      </c>
      <c r="AF96" s="20">
        <v>5</v>
      </c>
      <c r="AG96" s="20">
        <v>132.66</v>
      </c>
      <c r="AH96" s="18">
        <f t="shared" si="13"/>
        <v>9.4617381629373156</v>
      </c>
      <c r="AI96" s="18">
        <f t="shared" si="14"/>
        <v>72.5</v>
      </c>
      <c r="AJ96" s="18">
        <f t="shared" si="15"/>
        <v>93.75</v>
      </c>
      <c r="AK96" s="18">
        <f t="shared" si="16"/>
        <v>-21.25</v>
      </c>
      <c r="AL96" s="10" t="str">
        <f t="shared" si="17"/>
        <v>OK</v>
      </c>
      <c r="AM96" s="11"/>
    </row>
    <row r="97" spans="1:39">
      <c r="A97" s="9" t="s">
        <v>145</v>
      </c>
      <c r="B97" s="9">
        <v>64</v>
      </c>
      <c r="C97" s="9">
        <v>80</v>
      </c>
      <c r="D97" s="9">
        <v>12</v>
      </c>
      <c r="E97" s="9">
        <v>4</v>
      </c>
      <c r="F97" s="15">
        <v>0.25</v>
      </c>
      <c r="G97" s="9">
        <v>20</v>
      </c>
      <c r="H97" s="9">
        <v>60</v>
      </c>
      <c r="I97" s="15">
        <v>0.1</v>
      </c>
      <c r="J97" s="9">
        <v>8</v>
      </c>
      <c r="K97" s="17" t="s">
        <v>69</v>
      </c>
      <c r="L97" s="17" t="s">
        <v>69</v>
      </c>
      <c r="M97" s="17" t="s">
        <v>69</v>
      </c>
      <c r="N97" s="17" t="s">
        <v>69</v>
      </c>
      <c r="O97" s="17" t="s">
        <v>69</v>
      </c>
      <c r="P97" s="17">
        <v>21600</v>
      </c>
      <c r="Q97" s="18">
        <f>IF(COUNT('GA Runs'!M461:M465)=0,"",MIN('GA Runs'!M461:M465))</f>
        <v>22849.493999999999</v>
      </c>
      <c r="R97" s="18">
        <f>IF($Q97="","",INDEX('GA Runs'!E461:E465,MATCH($Q97,'GA Runs'!M461:M465,0)))</f>
        <v>1834.309</v>
      </c>
      <c r="S97" s="18">
        <f>IF($Q97="","",INDEX('GA Runs'!F461:F465,MATCH($Q97,'GA Runs'!M461:M465,0)))</f>
        <v>2015.1859999999999</v>
      </c>
      <c r="T97" s="18">
        <f>IF($Q97="","",INDEX('GA Runs'!G461:G465,MATCH($Q97,'GA Runs'!M461:M465,0)))</f>
        <v>19000</v>
      </c>
      <c r="U97" s="18">
        <f>IF($Q97="","",INDEX('GA Runs'!H461:H465,MATCH($Q97,'GA Runs'!M461:M465,0)))</f>
        <v>19</v>
      </c>
      <c r="V97" s="18">
        <f>IF($Q97="","",INDEX('GA Runs'!I461:I465,MATCH($Q97,'GA Runs'!M461:M465,0)))</f>
        <v>105.684</v>
      </c>
      <c r="W97" s="18" t="str">
        <f t="shared" si="12"/>
        <v/>
      </c>
      <c r="X97" s="18">
        <f>IF(COUNT('GA Runs'!M461:M465)=0,"",AVERAGE('GA Runs'!M461:M465))</f>
        <v>25223.6152</v>
      </c>
      <c r="Y97" s="18">
        <f>IF(COUNT('GA Runs'!M461:M465)&lt;2,"",_xlfn.STDEV.S('GA Runs'!M461:M465))</f>
        <v>1500.2455087910453</v>
      </c>
      <c r="Z97" s="22">
        <f>COUNT('GA Runs'!M461:M465)</f>
        <v>5</v>
      </c>
      <c r="AA97" s="18">
        <f>IF($Z97=0,"",AVERAGEIF('GA Runs'!M461:M465,"&gt;=0",'GA Runs'!I461:I465))</f>
        <v>104.20039999999999</v>
      </c>
      <c r="AB97" s="20">
        <v>23071.3</v>
      </c>
      <c r="AC97" s="20">
        <v>2204.6999999999998</v>
      </c>
      <c r="AD97" s="20">
        <v>1866.6</v>
      </c>
      <c r="AE97" s="20">
        <v>19000</v>
      </c>
      <c r="AF97" s="20">
        <v>5</v>
      </c>
      <c r="AG97" s="20">
        <v>113.79</v>
      </c>
      <c r="AH97" s="18">
        <f t="shared" si="13"/>
        <v>16.800063500703036</v>
      </c>
      <c r="AI97" s="18">
        <f t="shared" si="14"/>
        <v>76.25</v>
      </c>
      <c r="AJ97" s="18">
        <f t="shared" si="15"/>
        <v>93.75</v>
      </c>
      <c r="AK97" s="18">
        <f t="shared" si="16"/>
        <v>-17.5</v>
      </c>
      <c r="AL97" s="10" t="str">
        <f t="shared" si="17"/>
        <v>OK</v>
      </c>
      <c r="AM97" s="11"/>
    </row>
    <row r="98" spans="1:39">
      <c r="A98" s="9" t="s">
        <v>146</v>
      </c>
      <c r="B98" s="9">
        <v>64</v>
      </c>
      <c r="C98" s="9">
        <v>80</v>
      </c>
      <c r="D98" s="9">
        <v>12</v>
      </c>
      <c r="E98" s="9">
        <v>4</v>
      </c>
      <c r="F98" s="15">
        <v>0.5</v>
      </c>
      <c r="G98" s="9">
        <v>40</v>
      </c>
      <c r="H98" s="9">
        <v>40</v>
      </c>
      <c r="I98" s="15">
        <v>0.1</v>
      </c>
      <c r="J98" s="9">
        <v>8</v>
      </c>
      <c r="K98" s="17" t="s">
        <v>69</v>
      </c>
      <c r="L98" s="17" t="s">
        <v>69</v>
      </c>
      <c r="M98" s="17" t="s">
        <v>69</v>
      </c>
      <c r="N98" s="17" t="s">
        <v>69</v>
      </c>
      <c r="O98" s="17" t="s">
        <v>69</v>
      </c>
      <c r="P98" s="17">
        <v>21600</v>
      </c>
      <c r="Q98" s="18">
        <f>IF(COUNT('GA Runs'!M466:M470)=0,"",MIN('GA Runs'!M466:M470))</f>
        <v>22631.595000000001</v>
      </c>
      <c r="R98" s="18">
        <f>IF($Q98="","",INDEX('GA Runs'!E466:E470,MATCH($Q98,'GA Runs'!M466:M470,0)))</f>
        <v>2748.319</v>
      </c>
      <c r="S98" s="18">
        <f>IF($Q98="","",INDEX('GA Runs'!F466:F470,MATCH($Q98,'GA Runs'!M466:M470,0)))</f>
        <v>1883.2760000000001</v>
      </c>
      <c r="T98" s="18">
        <f>IF($Q98="","",INDEX('GA Runs'!G466:G470,MATCH($Q98,'GA Runs'!M466:M470,0)))</f>
        <v>18000</v>
      </c>
      <c r="U98" s="18">
        <f>IF($Q98="","",INDEX('GA Runs'!H466:H470,MATCH($Q98,'GA Runs'!M466:M470,0)))</f>
        <v>18</v>
      </c>
      <c r="V98" s="18">
        <f>IF($Q98="","",INDEX('GA Runs'!I466:I470,MATCH($Q98,'GA Runs'!M466:M470,0)))</f>
        <v>103.59</v>
      </c>
      <c r="W98" s="18" t="str">
        <f t="shared" si="12"/>
        <v/>
      </c>
      <c r="X98" s="18">
        <f>IF(COUNT('GA Runs'!M466:M470)=0,"",AVERAGE('GA Runs'!M466:M470))</f>
        <v>26304.236400000002</v>
      </c>
      <c r="Y98" s="18">
        <f>IF(COUNT('GA Runs'!M466:M470)&lt;2,"",_xlfn.STDEV.S('GA Runs'!M466:M470))</f>
        <v>3478.9810563878182</v>
      </c>
      <c r="Z98" s="22">
        <f>COUNT('GA Runs'!M466:M470)</f>
        <v>5</v>
      </c>
      <c r="AA98" s="18">
        <f>IF($Z98=0,"",AVERAGEIF('GA Runs'!M466:M470,"&gt;=0",'GA Runs'!I466:I470))</f>
        <v>102.64759999999998</v>
      </c>
      <c r="AB98" s="20">
        <v>31585.8</v>
      </c>
      <c r="AC98" s="20">
        <v>3744.7</v>
      </c>
      <c r="AD98" s="20">
        <v>1841.1</v>
      </c>
      <c r="AE98" s="20">
        <v>26000</v>
      </c>
      <c r="AF98" s="20">
        <v>7</v>
      </c>
      <c r="AG98" s="20">
        <v>91.35</v>
      </c>
      <c r="AH98" s="18">
        <f t="shared" si="13"/>
        <v>26.607765642107513</v>
      </c>
      <c r="AI98" s="18">
        <f t="shared" si="14"/>
        <v>77.5</v>
      </c>
      <c r="AJ98" s="18">
        <f t="shared" si="15"/>
        <v>91.25</v>
      </c>
      <c r="AK98" s="18">
        <f t="shared" si="16"/>
        <v>-13.75</v>
      </c>
      <c r="AL98" s="10" t="str">
        <f t="shared" si="17"/>
        <v>OK</v>
      </c>
      <c r="AM98" s="11"/>
    </row>
    <row r="99" spans="1:39">
      <c r="A99" s="9" t="s">
        <v>147</v>
      </c>
      <c r="B99" s="9">
        <v>64</v>
      </c>
      <c r="C99" s="9">
        <v>80</v>
      </c>
      <c r="D99" s="9">
        <v>12</v>
      </c>
      <c r="E99" s="9">
        <v>4</v>
      </c>
      <c r="F99" s="15">
        <v>0.75</v>
      </c>
      <c r="G99" s="9">
        <v>60</v>
      </c>
      <c r="H99" s="9">
        <v>20</v>
      </c>
      <c r="I99" s="15">
        <v>0.1</v>
      </c>
      <c r="J99" s="9">
        <v>8</v>
      </c>
      <c r="K99" s="17" t="s">
        <v>69</v>
      </c>
      <c r="L99" s="17" t="s">
        <v>69</v>
      </c>
      <c r="M99" s="17" t="s">
        <v>69</v>
      </c>
      <c r="N99" s="17" t="s">
        <v>69</v>
      </c>
      <c r="O99" s="17" t="s">
        <v>69</v>
      </c>
      <c r="P99" s="17">
        <v>21600</v>
      </c>
      <c r="Q99" s="18">
        <f>IF(COUNT('GA Runs'!M471:M475)=0,"",MIN('GA Runs'!M471:M475))</f>
        <v>23645.463</v>
      </c>
      <c r="R99" s="18">
        <f>IF($Q99="","",INDEX('GA Runs'!E471:E475,MATCH($Q99,'GA Runs'!M471:M475,0)))</f>
        <v>5868.1729999999998</v>
      </c>
      <c r="S99" s="18">
        <f>IF($Q99="","",INDEX('GA Runs'!F471:F475,MATCH($Q99,'GA Runs'!M471:M475,0)))</f>
        <v>1777.29</v>
      </c>
      <c r="T99" s="18">
        <f>IF($Q99="","",INDEX('GA Runs'!G471:G475,MATCH($Q99,'GA Runs'!M471:M475,0)))</f>
        <v>16000</v>
      </c>
      <c r="U99" s="18">
        <f>IF($Q99="","",INDEX('GA Runs'!H471:H475,MATCH($Q99,'GA Runs'!M471:M475,0)))</f>
        <v>16</v>
      </c>
      <c r="V99" s="18">
        <f>IF($Q99="","",INDEX('GA Runs'!I471:I475,MATCH($Q99,'GA Runs'!M471:M475,0)))</f>
        <v>101.03100000000001</v>
      </c>
      <c r="W99" s="18" t="str">
        <f t="shared" si="12"/>
        <v/>
      </c>
      <c r="X99" s="18">
        <f>IF(COUNT('GA Runs'!M471:M475)=0,"",AVERAGE('GA Runs'!M471:M475))</f>
        <v>26666.5576</v>
      </c>
      <c r="Y99" s="18">
        <f>IF(COUNT('GA Runs'!M471:M475)&lt;2,"",_xlfn.STDEV.S('GA Runs'!M471:M475))</f>
        <v>3775.0099931921909</v>
      </c>
      <c r="Z99" s="22">
        <f>COUNT('GA Runs'!M471:M475)</f>
        <v>5</v>
      </c>
      <c r="AA99" s="18">
        <f>IF($Z99=0,"",AVERAGEIF('GA Runs'!M471:M475,"&gt;=0",'GA Runs'!I471:I475))</f>
        <v>99.272000000000006</v>
      </c>
      <c r="AB99" s="20">
        <v>29691.5</v>
      </c>
      <c r="AC99" s="20">
        <v>5104.6000000000004</v>
      </c>
      <c r="AD99" s="20">
        <v>1586.9</v>
      </c>
      <c r="AE99" s="20">
        <v>23000</v>
      </c>
      <c r="AF99" s="20">
        <v>6</v>
      </c>
      <c r="AG99" s="20">
        <v>64.44</v>
      </c>
      <c r="AH99" s="18">
        <f t="shared" si="13"/>
        <v>-14.958527602554547</v>
      </c>
      <c r="AI99" s="18">
        <f t="shared" si="14"/>
        <v>80</v>
      </c>
      <c r="AJ99" s="18">
        <f t="shared" si="15"/>
        <v>92.5</v>
      </c>
      <c r="AK99" s="18">
        <f t="shared" si="16"/>
        <v>-12.5</v>
      </c>
      <c r="AL99" s="10" t="str">
        <f t="shared" si="17"/>
        <v>OK</v>
      </c>
      <c r="AM99" s="11"/>
    </row>
    <row r="100" spans="1:39">
      <c r="A100" s="9" t="s">
        <v>148</v>
      </c>
      <c r="B100" s="9">
        <v>64</v>
      </c>
      <c r="C100" s="9">
        <v>80</v>
      </c>
      <c r="D100" s="9">
        <v>12</v>
      </c>
      <c r="E100" s="9">
        <v>4</v>
      </c>
      <c r="F100" s="15">
        <v>0.9</v>
      </c>
      <c r="G100" s="9">
        <v>72</v>
      </c>
      <c r="H100" s="9">
        <v>8</v>
      </c>
      <c r="I100" s="15">
        <v>0.1</v>
      </c>
      <c r="J100" s="9">
        <v>8</v>
      </c>
      <c r="K100" s="17" t="s">
        <v>69</v>
      </c>
      <c r="L100" s="17" t="s">
        <v>69</v>
      </c>
      <c r="M100" s="17" t="s">
        <v>69</v>
      </c>
      <c r="N100" s="17" t="s">
        <v>69</v>
      </c>
      <c r="O100" s="17" t="s">
        <v>69</v>
      </c>
      <c r="P100" s="17">
        <v>21600</v>
      </c>
      <c r="Q100" s="18">
        <f>IF(COUNT('GA Runs'!M476:M480)=0,"",MIN('GA Runs'!M476:M480))</f>
        <v>22669.069</v>
      </c>
      <c r="R100" s="18">
        <f>IF($Q100="","",INDEX('GA Runs'!E476:E480,MATCH($Q100,'GA Runs'!M476:M480,0)))</f>
        <v>4860.5529999999999</v>
      </c>
      <c r="S100" s="18">
        <f>IF($Q100="","",INDEX('GA Runs'!F476:F480,MATCH($Q100,'GA Runs'!M476:M480,0)))</f>
        <v>1808.5170000000001</v>
      </c>
      <c r="T100" s="18">
        <f>IF($Q100="","",INDEX('GA Runs'!G476:G480,MATCH($Q100,'GA Runs'!M476:M480,0)))</f>
        <v>16000</v>
      </c>
      <c r="U100" s="18">
        <f>IF($Q100="","",INDEX('GA Runs'!H476:H480,MATCH($Q100,'GA Runs'!M476:M480,0)))</f>
        <v>16</v>
      </c>
      <c r="V100" s="18">
        <f>IF($Q100="","",INDEX('GA Runs'!I476:I480,MATCH($Q100,'GA Runs'!M476:M480,0)))</f>
        <v>88.478999999999999</v>
      </c>
      <c r="W100" s="18" t="str">
        <f t="shared" si="12"/>
        <v/>
      </c>
      <c r="X100" s="18">
        <f>IF(COUNT('GA Runs'!M476:M480)=0,"",AVERAGE('GA Runs'!M476:M480))</f>
        <v>26340.158799999997</v>
      </c>
      <c r="Y100" s="18">
        <f>IF(COUNT('GA Runs'!M476:M480)&lt;2,"",_xlfn.STDEV.S('GA Runs'!M476:M480))</f>
        <v>2691.8563701645012</v>
      </c>
      <c r="Z100" s="22">
        <f>COUNT('GA Runs'!M476:M480)</f>
        <v>5</v>
      </c>
      <c r="AA100" s="18">
        <f>IF($Z100=0,"",AVERAGEIF('GA Runs'!M476:M480,"&gt;=0",'GA Runs'!I476:I480))</f>
        <v>89.17519999999999</v>
      </c>
      <c r="AB100" s="20">
        <v>31919.200000000001</v>
      </c>
      <c r="AC100" s="20">
        <v>6304.3</v>
      </c>
      <c r="AD100" s="20">
        <v>1614.9</v>
      </c>
      <c r="AE100" s="20">
        <v>24000</v>
      </c>
      <c r="AF100" s="20">
        <v>6</v>
      </c>
      <c r="AG100" s="20">
        <v>55.69</v>
      </c>
      <c r="AH100" s="18">
        <f t="shared" si="13"/>
        <v>22.900988214393358</v>
      </c>
      <c r="AI100" s="18">
        <f t="shared" si="14"/>
        <v>80</v>
      </c>
      <c r="AJ100" s="18">
        <f t="shared" si="15"/>
        <v>92.5</v>
      </c>
      <c r="AK100" s="18">
        <f t="shared" si="16"/>
        <v>-12.5</v>
      </c>
      <c r="AL100" s="10" t="str">
        <f t="shared" si="17"/>
        <v>OK</v>
      </c>
      <c r="AM100" s="11"/>
    </row>
    <row r="101" spans="1:39">
      <c r="A101" s="9" t="s">
        <v>149</v>
      </c>
      <c r="B101" s="9">
        <v>42</v>
      </c>
      <c r="C101" s="9">
        <v>80</v>
      </c>
      <c r="D101" s="9">
        <v>12</v>
      </c>
      <c r="E101" s="9">
        <v>4</v>
      </c>
      <c r="F101" s="15">
        <v>0.1</v>
      </c>
      <c r="G101" s="9">
        <v>8</v>
      </c>
      <c r="H101" s="9">
        <v>72</v>
      </c>
      <c r="I101" s="15">
        <v>0.1</v>
      </c>
      <c r="J101" s="9">
        <v>8</v>
      </c>
      <c r="K101" s="17" t="s">
        <v>69</v>
      </c>
      <c r="L101" s="17" t="s">
        <v>69</v>
      </c>
      <c r="M101" s="17" t="s">
        <v>69</v>
      </c>
      <c r="N101" s="17" t="s">
        <v>69</v>
      </c>
      <c r="O101" s="17" t="s">
        <v>69</v>
      </c>
      <c r="P101" s="17">
        <v>21600</v>
      </c>
      <c r="Q101" s="18">
        <f>IF(COUNT('GA Runs'!M481:M485)=0,"",MIN('GA Runs'!M481:M485))</f>
        <v>21658.295999999998</v>
      </c>
      <c r="R101" s="18">
        <f>IF($Q101="","",INDEX('GA Runs'!E481:E485,MATCH($Q101,'GA Runs'!M481:M485,0)))</f>
        <v>867.41</v>
      </c>
      <c r="S101" s="18">
        <f>IF($Q101="","",INDEX('GA Runs'!F481:F485,MATCH($Q101,'GA Runs'!M481:M485,0)))</f>
        <v>1790.886</v>
      </c>
      <c r="T101" s="18">
        <f>IF($Q101="","",INDEX('GA Runs'!G481:G485,MATCH($Q101,'GA Runs'!M481:M485,0)))</f>
        <v>19000</v>
      </c>
      <c r="U101" s="18">
        <f>IF($Q101="","",INDEX('GA Runs'!H481:H485,MATCH($Q101,'GA Runs'!M481:M485,0)))</f>
        <v>19</v>
      </c>
      <c r="V101" s="18">
        <f>IF($Q101="","",INDEX('GA Runs'!I481:I485,MATCH($Q101,'GA Runs'!M481:M485,0)))</f>
        <v>107.107</v>
      </c>
      <c r="W101" s="18" t="str">
        <f t="shared" si="12"/>
        <v/>
      </c>
      <c r="X101" s="18">
        <f>IF(COUNT('GA Runs'!M481:M485)=0,"",AVERAGE('GA Runs'!M481:M485))</f>
        <v>25971.574799999999</v>
      </c>
      <c r="Y101" s="18">
        <f>IF(COUNT('GA Runs'!M481:M485)&lt;2,"",_xlfn.STDEV.S('GA Runs'!M481:M485))</f>
        <v>2732.3825658689711</v>
      </c>
      <c r="Z101" s="22">
        <f>COUNT('GA Runs'!M481:M485)</f>
        <v>5</v>
      </c>
      <c r="AA101" s="18">
        <f>IF($Z101=0,"",AVERAGEIF('GA Runs'!M481:M485,"&gt;=0",'GA Runs'!I481:I485))</f>
        <v>104.465</v>
      </c>
      <c r="AB101" s="20">
        <v>20183.900000000001</v>
      </c>
      <c r="AC101" s="20">
        <v>1451.3</v>
      </c>
      <c r="AD101" s="20">
        <v>1732.6</v>
      </c>
      <c r="AE101" s="20">
        <v>17000</v>
      </c>
      <c r="AF101" s="20">
        <v>5</v>
      </c>
      <c r="AG101" s="20">
        <v>104.85</v>
      </c>
      <c r="AH101" s="18">
        <f t="shared" si="13"/>
        <v>40.232205608764559</v>
      </c>
      <c r="AI101" s="18">
        <f t="shared" si="14"/>
        <v>76.25</v>
      </c>
      <c r="AJ101" s="18">
        <f t="shared" si="15"/>
        <v>93.75</v>
      </c>
      <c r="AK101" s="18">
        <f t="shared" si="16"/>
        <v>-17.5</v>
      </c>
      <c r="AL101" s="10" t="str">
        <f t="shared" si="17"/>
        <v>OK</v>
      </c>
      <c r="AM101" s="11"/>
    </row>
    <row r="102" spans="1:39">
      <c r="A102" s="9" t="s">
        <v>150</v>
      </c>
      <c r="B102" s="9">
        <v>42</v>
      </c>
      <c r="C102" s="9">
        <v>80</v>
      </c>
      <c r="D102" s="9">
        <v>12</v>
      </c>
      <c r="E102" s="9">
        <v>4</v>
      </c>
      <c r="F102" s="15">
        <v>0.25</v>
      </c>
      <c r="G102" s="9">
        <v>20</v>
      </c>
      <c r="H102" s="9">
        <v>60</v>
      </c>
      <c r="I102" s="15">
        <v>0.1</v>
      </c>
      <c r="J102" s="9">
        <v>8</v>
      </c>
      <c r="K102" s="17" t="s">
        <v>69</v>
      </c>
      <c r="L102" s="17" t="s">
        <v>69</v>
      </c>
      <c r="M102" s="17" t="s">
        <v>69</v>
      </c>
      <c r="N102" s="17" t="s">
        <v>69</v>
      </c>
      <c r="O102" s="17" t="s">
        <v>69</v>
      </c>
      <c r="P102" s="17">
        <v>21600</v>
      </c>
      <c r="Q102" s="18">
        <f>IF(COUNT('GA Runs'!M486:M490)=0,"",MIN('GA Runs'!M486:M490))</f>
        <v>20822.261999999999</v>
      </c>
      <c r="R102" s="18">
        <f>IF($Q102="","",INDEX('GA Runs'!E486:E490,MATCH($Q102,'GA Runs'!M486:M490,0)))</f>
        <v>2044.8330000000001</v>
      </c>
      <c r="S102" s="18">
        <f>IF($Q102="","",INDEX('GA Runs'!F486:F490,MATCH($Q102,'GA Runs'!M486:M490,0)))</f>
        <v>1777.4290000000001</v>
      </c>
      <c r="T102" s="18">
        <f>IF($Q102="","",INDEX('GA Runs'!G486:G490,MATCH($Q102,'GA Runs'!M486:M490,0)))</f>
        <v>17000</v>
      </c>
      <c r="U102" s="18">
        <f>IF($Q102="","",INDEX('GA Runs'!H486:H490,MATCH($Q102,'GA Runs'!M486:M490,0)))</f>
        <v>17</v>
      </c>
      <c r="V102" s="18">
        <f>IF($Q102="","",INDEX('GA Runs'!I486:I490,MATCH($Q102,'GA Runs'!M486:M490,0)))</f>
        <v>103.43899999999999</v>
      </c>
      <c r="W102" s="18" t="str">
        <f t="shared" si="12"/>
        <v/>
      </c>
      <c r="X102" s="18">
        <f>IF(COUNT('GA Runs'!M486:M490)=0,"",AVERAGE('GA Runs'!M486:M490))</f>
        <v>25194.474800000004</v>
      </c>
      <c r="Y102" s="18">
        <f>IF(COUNT('GA Runs'!M486:M490)&lt;2,"",_xlfn.STDEV.S('GA Runs'!M486:M490))</f>
        <v>4610.2565194629906</v>
      </c>
      <c r="Z102" s="22">
        <f>COUNT('GA Runs'!M486:M490)</f>
        <v>5</v>
      </c>
      <c r="AA102" s="18">
        <f>IF($Z102=0,"",AVERAGEIF('GA Runs'!M486:M490,"&gt;=0",'GA Runs'!I486:I490))</f>
        <v>101.95200000000001</v>
      </c>
      <c r="AB102" s="20">
        <v>25668.3</v>
      </c>
      <c r="AC102" s="20">
        <v>1802.4</v>
      </c>
      <c r="AD102" s="20">
        <v>1865.9</v>
      </c>
      <c r="AE102" s="20">
        <v>22000</v>
      </c>
      <c r="AF102" s="20">
        <v>7</v>
      </c>
      <c r="AG102" s="20">
        <v>109.44</v>
      </c>
      <c r="AH102" s="18">
        <f t="shared" si="13"/>
        <v>-13.450565912117176</v>
      </c>
      <c r="AI102" s="18">
        <f t="shared" si="14"/>
        <v>78.75</v>
      </c>
      <c r="AJ102" s="18">
        <f t="shared" si="15"/>
        <v>91.25</v>
      </c>
      <c r="AK102" s="18">
        <f t="shared" si="16"/>
        <v>-12.5</v>
      </c>
      <c r="AL102" s="10" t="str">
        <f t="shared" si="17"/>
        <v>OK</v>
      </c>
      <c r="AM102" s="11"/>
    </row>
    <row r="103" spans="1:39">
      <c r="A103" s="9" t="s">
        <v>151</v>
      </c>
      <c r="B103" s="9">
        <v>42</v>
      </c>
      <c r="C103" s="9">
        <v>80</v>
      </c>
      <c r="D103" s="9">
        <v>12</v>
      </c>
      <c r="E103" s="9">
        <v>4</v>
      </c>
      <c r="F103" s="15">
        <v>0.5</v>
      </c>
      <c r="G103" s="9">
        <v>40</v>
      </c>
      <c r="H103" s="9">
        <v>40</v>
      </c>
      <c r="I103" s="15">
        <v>0.1</v>
      </c>
      <c r="J103" s="9">
        <v>8</v>
      </c>
      <c r="K103" s="17" t="s">
        <v>69</v>
      </c>
      <c r="L103" s="17" t="s">
        <v>69</v>
      </c>
      <c r="M103" s="17" t="s">
        <v>69</v>
      </c>
      <c r="N103" s="17" t="s">
        <v>69</v>
      </c>
      <c r="O103" s="17" t="s">
        <v>69</v>
      </c>
      <c r="P103" s="17">
        <v>21600</v>
      </c>
      <c r="Q103" s="18">
        <f>IF(COUNT('GA Runs'!M491:M495)=0,"",MIN('GA Runs'!M491:M495))</f>
        <v>18673.334999999999</v>
      </c>
      <c r="R103" s="18">
        <f>IF($Q103="","",INDEX('GA Runs'!E491:E495,MATCH($Q103,'GA Runs'!M491:M495,0)))</f>
        <v>3877.29</v>
      </c>
      <c r="S103" s="18">
        <f>IF($Q103="","",INDEX('GA Runs'!F491:F495,MATCH($Q103,'GA Runs'!M491:M495,0)))</f>
        <v>1796.0450000000001</v>
      </c>
      <c r="T103" s="18">
        <f>IF($Q103="","",INDEX('GA Runs'!G491:G495,MATCH($Q103,'GA Runs'!M491:M495,0)))</f>
        <v>13000</v>
      </c>
      <c r="U103" s="18">
        <f>IF($Q103="","",INDEX('GA Runs'!H491:H495,MATCH($Q103,'GA Runs'!M491:M495,0)))</f>
        <v>13</v>
      </c>
      <c r="V103" s="18">
        <f>IF($Q103="","",INDEX('GA Runs'!I491:I495,MATCH($Q103,'GA Runs'!M491:M495,0)))</f>
        <v>107.318</v>
      </c>
      <c r="W103" s="18" t="str">
        <f t="shared" si="12"/>
        <v/>
      </c>
      <c r="X103" s="18">
        <f>IF(COUNT('GA Runs'!M491:M495)=0,"",AVERAGE('GA Runs'!M491:M495))</f>
        <v>24502.816599999998</v>
      </c>
      <c r="Y103" s="18">
        <f>IF(COUNT('GA Runs'!M491:M495)&lt;2,"",_xlfn.STDEV.S('GA Runs'!M491:M495))</f>
        <v>4266.9951251596549</v>
      </c>
      <c r="Z103" s="22">
        <f>COUNT('GA Runs'!M491:M495)</f>
        <v>5</v>
      </c>
      <c r="AA103" s="18">
        <f>IF($Z103=0,"",AVERAGEIF('GA Runs'!M491:M495,"&gt;=0",'GA Runs'!I491:I495))</f>
        <v>104.16860000000001</v>
      </c>
      <c r="AB103" s="20">
        <v>25494.1</v>
      </c>
      <c r="AC103" s="20">
        <v>3827.7</v>
      </c>
      <c r="AD103" s="20">
        <v>1666.4</v>
      </c>
      <c r="AE103" s="20">
        <v>20000</v>
      </c>
      <c r="AF103" s="20">
        <v>6</v>
      </c>
      <c r="AG103" s="20">
        <v>93.78</v>
      </c>
      <c r="AH103" s="18">
        <f t="shared" si="13"/>
        <v>-1.2955560780625479</v>
      </c>
      <c r="AI103" s="18">
        <f t="shared" si="14"/>
        <v>83.75</v>
      </c>
      <c r="AJ103" s="18">
        <f t="shared" si="15"/>
        <v>92.5</v>
      </c>
      <c r="AK103" s="18">
        <f t="shared" si="16"/>
        <v>-8.75</v>
      </c>
      <c r="AL103" s="10" t="str">
        <f t="shared" si="17"/>
        <v>OK</v>
      </c>
      <c r="AM103" s="11"/>
    </row>
    <row r="104" spans="1:39">
      <c r="A104" s="9" t="s">
        <v>152</v>
      </c>
      <c r="B104" s="9">
        <v>42</v>
      </c>
      <c r="C104" s="9">
        <v>80</v>
      </c>
      <c r="D104" s="9">
        <v>12</v>
      </c>
      <c r="E104" s="9">
        <v>4</v>
      </c>
      <c r="F104" s="15">
        <v>0.75</v>
      </c>
      <c r="G104" s="9">
        <v>60</v>
      </c>
      <c r="H104" s="9">
        <v>20</v>
      </c>
      <c r="I104" s="15">
        <v>0.1</v>
      </c>
      <c r="J104" s="9">
        <v>8</v>
      </c>
      <c r="K104" s="17" t="s">
        <v>69</v>
      </c>
      <c r="L104" s="17" t="s">
        <v>69</v>
      </c>
      <c r="M104" s="17" t="s">
        <v>69</v>
      </c>
      <c r="N104" s="17" t="s">
        <v>69</v>
      </c>
      <c r="O104" s="17" t="s">
        <v>69</v>
      </c>
      <c r="P104" s="17">
        <v>21600</v>
      </c>
      <c r="Q104" s="18">
        <f>IF(COUNT('GA Runs'!M496:M500)=0,"",MIN('GA Runs'!M496:M500))</f>
        <v>16974.821</v>
      </c>
      <c r="R104" s="18">
        <f>IF($Q104="","",INDEX('GA Runs'!E496:E500,MATCH($Q104,'GA Runs'!M496:M500,0)))</f>
        <v>5144.1589999999997</v>
      </c>
      <c r="S104" s="18">
        <f>IF($Q104="","",INDEX('GA Runs'!F496:F500,MATCH($Q104,'GA Runs'!M496:M500,0)))</f>
        <v>1830.6610000000001</v>
      </c>
      <c r="T104" s="18">
        <f>IF($Q104="","",INDEX('GA Runs'!G496:G500,MATCH($Q104,'GA Runs'!M496:M500,0)))</f>
        <v>10000</v>
      </c>
      <c r="U104" s="18">
        <f>IF($Q104="","",INDEX('GA Runs'!H496:H500,MATCH($Q104,'GA Runs'!M496:M500,0)))</f>
        <v>10</v>
      </c>
      <c r="V104" s="18">
        <f>IF($Q104="","",INDEX('GA Runs'!I496:I500,MATCH($Q104,'GA Runs'!M496:M500,0)))</f>
        <v>99.680999999999997</v>
      </c>
      <c r="W104" s="18" t="str">
        <f t="shared" si="12"/>
        <v/>
      </c>
      <c r="X104" s="18">
        <f>IF(COUNT('GA Runs'!M496:M500)=0,"",AVERAGE('GA Runs'!M496:M500))</f>
        <v>24233.1348</v>
      </c>
      <c r="Y104" s="18">
        <f>IF(COUNT('GA Runs'!M496:M500)&lt;2,"",_xlfn.STDEV.S('GA Runs'!M496:M500))</f>
        <v>5874.2363716789614</v>
      </c>
      <c r="Z104" s="22">
        <f>COUNT('GA Runs'!M496:M500)</f>
        <v>5</v>
      </c>
      <c r="AA104" s="18">
        <f>IF($Z104=0,"",AVERAGEIF('GA Runs'!M496:M500,"&gt;=0",'GA Runs'!I496:I500))</f>
        <v>100.58080000000001</v>
      </c>
      <c r="AB104" s="20">
        <v>28588.1</v>
      </c>
      <c r="AC104" s="20">
        <v>5020.2</v>
      </c>
      <c r="AD104" s="20">
        <v>1567.9</v>
      </c>
      <c r="AE104" s="20">
        <v>22000</v>
      </c>
      <c r="AF104" s="20">
        <v>7</v>
      </c>
      <c r="AG104" s="20">
        <v>74.62</v>
      </c>
      <c r="AH104" s="18">
        <f t="shared" si="13"/>
        <v>-2.4692044141667631</v>
      </c>
      <c r="AI104" s="18">
        <f t="shared" si="14"/>
        <v>87.5</v>
      </c>
      <c r="AJ104" s="18">
        <f t="shared" si="15"/>
        <v>91.25</v>
      </c>
      <c r="AK104" s="18">
        <f t="shared" si="16"/>
        <v>-3.75</v>
      </c>
      <c r="AL104" s="10" t="str">
        <f t="shared" si="17"/>
        <v>OK</v>
      </c>
      <c r="AM104" s="11"/>
    </row>
    <row r="105" spans="1:39">
      <c r="A105" s="12" t="s">
        <v>153</v>
      </c>
      <c r="B105" s="12">
        <v>42</v>
      </c>
      <c r="C105" s="12">
        <v>80</v>
      </c>
      <c r="D105" s="12">
        <v>12</v>
      </c>
      <c r="E105" s="12">
        <v>4</v>
      </c>
      <c r="F105" s="16">
        <v>0.9</v>
      </c>
      <c r="G105" s="12">
        <v>72</v>
      </c>
      <c r="H105" s="12">
        <v>8</v>
      </c>
      <c r="I105" s="16">
        <v>0.1</v>
      </c>
      <c r="J105" s="12">
        <v>8</v>
      </c>
      <c r="K105" s="17" t="s">
        <v>69</v>
      </c>
      <c r="L105" s="17" t="s">
        <v>69</v>
      </c>
      <c r="M105" s="17" t="s">
        <v>69</v>
      </c>
      <c r="N105" s="17" t="s">
        <v>69</v>
      </c>
      <c r="O105" s="17" t="s">
        <v>69</v>
      </c>
      <c r="P105" s="17">
        <v>21600</v>
      </c>
      <c r="Q105" s="19">
        <f>IF(COUNT('GA Runs'!M501:M505)=0,"",MIN('GA Runs'!M501:M505))</f>
        <v>17423.825000000001</v>
      </c>
      <c r="R105" s="19">
        <f>IF($Q105="","",INDEX('GA Runs'!E501:E505,MATCH($Q105,'GA Runs'!M501:M505,0)))</f>
        <v>5624.9979999999996</v>
      </c>
      <c r="S105" s="19">
        <f>IF($Q105="","",INDEX('GA Runs'!F501:F505,MATCH($Q105,'GA Runs'!M501:M505,0)))</f>
        <v>1798.827</v>
      </c>
      <c r="T105" s="19">
        <f>IF($Q105="","",INDEX('GA Runs'!G501:G505,MATCH($Q105,'GA Runs'!M501:M505,0)))</f>
        <v>10000</v>
      </c>
      <c r="U105" s="19">
        <f>IF($Q105="","",INDEX('GA Runs'!H501:H505,MATCH($Q105,'GA Runs'!M501:M505,0)))</f>
        <v>10</v>
      </c>
      <c r="V105" s="19">
        <f>IF($Q105="","",INDEX('GA Runs'!I501:I505,MATCH($Q105,'GA Runs'!M501:M505,0)))</f>
        <v>85.495999999999995</v>
      </c>
      <c r="W105" s="19" t="str">
        <f t="shared" si="12"/>
        <v/>
      </c>
      <c r="X105" s="19">
        <f>IF(COUNT('GA Runs'!M501:M505)=0,"",AVERAGE('GA Runs'!M501:M505))</f>
        <v>23363.100599999998</v>
      </c>
      <c r="Y105" s="19">
        <f>IF(COUNT('GA Runs'!M501:M505)&lt;2,"",_xlfn.STDEV.S('GA Runs'!M501:M505))</f>
        <v>5324.3915529855776</v>
      </c>
      <c r="Z105" s="23">
        <f>COUNT('GA Runs'!M501:M505)</f>
        <v>5</v>
      </c>
      <c r="AA105" s="19">
        <f>IF($Z105=0,"",AVERAGEIF('GA Runs'!M501:M505,"&gt;=0",'GA Runs'!I501:I505))</f>
        <v>90.304000000000002</v>
      </c>
      <c r="AB105" s="21">
        <v>27448.400000000001</v>
      </c>
      <c r="AC105" s="21">
        <v>6911.5</v>
      </c>
      <c r="AD105" s="21">
        <v>1536.9</v>
      </c>
      <c r="AE105" s="21">
        <v>19000</v>
      </c>
      <c r="AF105" s="21">
        <v>6</v>
      </c>
      <c r="AG105" s="21">
        <v>55.91</v>
      </c>
      <c r="AH105" s="19">
        <f t="shared" si="13"/>
        <v>18.61393329957318</v>
      </c>
      <c r="AI105" s="19">
        <f t="shared" si="14"/>
        <v>87.5</v>
      </c>
      <c r="AJ105" s="19">
        <f t="shared" si="15"/>
        <v>92.5</v>
      </c>
      <c r="AK105" s="19">
        <f t="shared" si="16"/>
        <v>-5</v>
      </c>
      <c r="AL105" s="13" t="str">
        <f t="shared" si="17"/>
        <v>OK</v>
      </c>
      <c r="AM105" s="14"/>
    </row>
    <row r="106" spans="1:39">
      <c r="X106" s="2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B656"/>
  </sheetPr>
  <dimension ref="A1:M5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I509" sqref="I509"/>
    </sheetView>
  </sheetViews>
  <sheetFormatPr defaultRowHeight="13.8"/>
  <cols>
    <col min="1" max="1" width="13" customWidth="1"/>
    <col min="2" max="2" width="7" customWidth="1"/>
    <col min="3" max="3" width="9" customWidth="1"/>
    <col min="4" max="4" width="11" customWidth="1"/>
    <col min="5" max="7" width="10" customWidth="1"/>
    <col min="8" max="8" width="12" customWidth="1"/>
    <col min="9" max="9" width="13" customWidth="1"/>
    <col min="10" max="10" width="11" customWidth="1"/>
    <col min="11" max="11" width="16" customWidth="1"/>
    <col min="12" max="12" width="28" customWidth="1"/>
    <col min="13" max="13" width="12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154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3" t="s">
        <v>155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24" t="s">
        <v>1</v>
      </c>
      <c r="B5" s="24" t="s">
        <v>156</v>
      </c>
      <c r="C5" s="24" t="s">
        <v>157</v>
      </c>
      <c r="D5" s="24" t="s">
        <v>158</v>
      </c>
      <c r="E5" s="24" t="s">
        <v>159</v>
      </c>
      <c r="F5" s="24" t="s">
        <v>169</v>
      </c>
      <c r="G5" s="24" t="s">
        <v>160</v>
      </c>
      <c r="H5" s="24" t="s">
        <v>161</v>
      </c>
      <c r="I5" s="24" t="s">
        <v>162</v>
      </c>
      <c r="J5" s="24" t="s">
        <v>163</v>
      </c>
      <c r="K5" s="24" t="s">
        <v>164</v>
      </c>
      <c r="L5" s="24" t="s">
        <v>36</v>
      </c>
      <c r="M5" s="24" t="s">
        <v>165</v>
      </c>
    </row>
    <row r="6" spans="1:13">
      <c r="A6" s="25" t="s">
        <v>37</v>
      </c>
      <c r="B6" s="25">
        <v>1</v>
      </c>
      <c r="C6" s="25">
        <v>0</v>
      </c>
      <c r="D6" s="20">
        <v>448.81</v>
      </c>
      <c r="E6" s="20">
        <v>0</v>
      </c>
      <c r="F6" s="20">
        <v>448.81</v>
      </c>
      <c r="G6" s="20">
        <v>0</v>
      </c>
      <c r="H6" s="27">
        <v>0</v>
      </c>
      <c r="I6" s="20">
        <v>20.5</v>
      </c>
      <c r="J6" s="11" t="s">
        <v>170</v>
      </c>
      <c r="K6" s="11" t="s">
        <v>170</v>
      </c>
      <c r="L6" s="11"/>
      <c r="M6" s="18">
        <f t="shared" ref="M6:M69" si="0">IF(AND(J6="Yes",K6="Yes",ISNUMBER(D6)),D6,"")</f>
        <v>448.81</v>
      </c>
    </row>
    <row r="7" spans="1:13">
      <c r="A7" s="25" t="s">
        <v>37</v>
      </c>
      <c r="B7" s="25">
        <v>2</v>
      </c>
      <c r="C7" s="25">
        <v>1</v>
      </c>
      <c r="D7" s="20">
        <v>448.81</v>
      </c>
      <c r="E7" s="20">
        <v>0</v>
      </c>
      <c r="F7" s="20">
        <v>448.81</v>
      </c>
      <c r="G7" s="20">
        <v>0</v>
      </c>
      <c r="H7" s="27">
        <v>0</v>
      </c>
      <c r="I7" s="20">
        <v>21.08</v>
      </c>
      <c r="J7" s="11" t="s">
        <v>170</v>
      </c>
      <c r="K7" s="11" t="s">
        <v>170</v>
      </c>
      <c r="L7" s="11"/>
      <c r="M7" s="18">
        <f t="shared" si="0"/>
        <v>448.81</v>
      </c>
    </row>
    <row r="8" spans="1:13">
      <c r="A8" s="25" t="s">
        <v>37</v>
      </c>
      <c r="B8" s="25">
        <v>3</v>
      </c>
      <c r="C8" s="25">
        <v>2</v>
      </c>
      <c r="D8" s="20">
        <v>448.81</v>
      </c>
      <c r="E8" s="20">
        <v>0</v>
      </c>
      <c r="F8" s="20">
        <v>448.81</v>
      </c>
      <c r="G8" s="20">
        <v>0</v>
      </c>
      <c r="H8" s="27">
        <v>0</v>
      </c>
      <c r="I8" s="20">
        <v>21.87</v>
      </c>
      <c r="J8" s="11" t="s">
        <v>170</v>
      </c>
      <c r="K8" s="11" t="s">
        <v>170</v>
      </c>
      <c r="L8" s="11"/>
      <c r="M8" s="18">
        <f t="shared" si="0"/>
        <v>448.81</v>
      </c>
    </row>
    <row r="9" spans="1:13">
      <c r="A9" s="25" t="s">
        <v>37</v>
      </c>
      <c r="B9" s="25">
        <v>4</v>
      </c>
      <c r="C9" s="25">
        <v>3</v>
      </c>
      <c r="D9" s="20">
        <v>448.81</v>
      </c>
      <c r="E9" s="20">
        <v>0</v>
      </c>
      <c r="F9" s="20">
        <v>448.81</v>
      </c>
      <c r="G9" s="20">
        <v>0</v>
      </c>
      <c r="H9" s="27">
        <v>0</v>
      </c>
      <c r="I9" s="20">
        <v>22.5</v>
      </c>
      <c r="J9" s="11" t="s">
        <v>170</v>
      </c>
      <c r="K9" s="11" t="s">
        <v>170</v>
      </c>
      <c r="L9" s="11"/>
      <c r="M9" s="18">
        <f t="shared" si="0"/>
        <v>448.81</v>
      </c>
    </row>
    <row r="10" spans="1:13">
      <c r="A10" s="25" t="s">
        <v>37</v>
      </c>
      <c r="B10" s="25">
        <v>5</v>
      </c>
      <c r="C10" s="25">
        <v>4</v>
      </c>
      <c r="D10" s="20">
        <v>448.81</v>
      </c>
      <c r="E10" s="20">
        <v>0</v>
      </c>
      <c r="F10" s="20">
        <v>448.81</v>
      </c>
      <c r="G10" s="20">
        <v>0</v>
      </c>
      <c r="H10" s="27">
        <v>0</v>
      </c>
      <c r="I10" s="20">
        <v>22.98</v>
      </c>
      <c r="J10" s="11" t="s">
        <v>170</v>
      </c>
      <c r="K10" s="11" t="s">
        <v>170</v>
      </c>
      <c r="L10" s="11"/>
      <c r="M10" s="18">
        <f t="shared" si="0"/>
        <v>448.81</v>
      </c>
    </row>
    <row r="11" spans="1:13">
      <c r="A11" s="25" t="s">
        <v>38</v>
      </c>
      <c r="B11" s="25">
        <v>1</v>
      </c>
      <c r="C11" s="25">
        <v>0</v>
      </c>
      <c r="D11" s="20">
        <v>569.87</v>
      </c>
      <c r="E11" s="20">
        <v>49.36</v>
      </c>
      <c r="F11" s="20">
        <v>520.5</v>
      </c>
      <c r="G11" s="20">
        <v>0</v>
      </c>
      <c r="H11" s="27">
        <v>0</v>
      </c>
      <c r="I11" s="20">
        <v>22.3</v>
      </c>
      <c r="J11" s="11" t="s">
        <v>170</v>
      </c>
      <c r="K11" s="11" t="s">
        <v>170</v>
      </c>
      <c r="L11" s="11"/>
      <c r="M11" s="18">
        <f t="shared" si="0"/>
        <v>569.87</v>
      </c>
    </row>
    <row r="12" spans="1:13">
      <c r="A12" s="25" t="s">
        <v>38</v>
      </c>
      <c r="B12" s="25">
        <v>2</v>
      </c>
      <c r="C12" s="25">
        <v>1</v>
      </c>
      <c r="D12" s="20">
        <v>549.85</v>
      </c>
      <c r="E12" s="20">
        <v>38.200000000000003</v>
      </c>
      <c r="F12" s="20">
        <v>511.65</v>
      </c>
      <c r="G12" s="20">
        <v>0</v>
      </c>
      <c r="H12" s="27">
        <v>0</v>
      </c>
      <c r="I12" s="20">
        <v>23.24</v>
      </c>
      <c r="J12" s="11" t="s">
        <v>170</v>
      </c>
      <c r="K12" s="11" t="s">
        <v>170</v>
      </c>
      <c r="L12" s="11"/>
      <c r="M12" s="18">
        <f t="shared" si="0"/>
        <v>549.85</v>
      </c>
    </row>
    <row r="13" spans="1:13">
      <c r="A13" s="25" t="s">
        <v>38</v>
      </c>
      <c r="B13" s="25">
        <v>3</v>
      </c>
      <c r="C13" s="25">
        <v>2</v>
      </c>
      <c r="D13" s="20">
        <v>549.85</v>
      </c>
      <c r="E13" s="20">
        <v>38.200000000000003</v>
      </c>
      <c r="F13" s="20">
        <v>511.65</v>
      </c>
      <c r="G13" s="20">
        <v>0</v>
      </c>
      <c r="H13" s="27">
        <v>0</v>
      </c>
      <c r="I13" s="20">
        <v>23.31</v>
      </c>
      <c r="J13" s="11" t="s">
        <v>170</v>
      </c>
      <c r="K13" s="11" t="s">
        <v>170</v>
      </c>
      <c r="L13" s="11"/>
      <c r="M13" s="18">
        <f t="shared" si="0"/>
        <v>549.85</v>
      </c>
    </row>
    <row r="14" spans="1:13">
      <c r="A14" s="25" t="s">
        <v>38</v>
      </c>
      <c r="B14" s="25">
        <v>4</v>
      </c>
      <c r="C14" s="25">
        <v>3</v>
      </c>
      <c r="D14" s="20">
        <v>550.03</v>
      </c>
      <c r="E14" s="20">
        <v>32.979999999999997</v>
      </c>
      <c r="F14" s="20">
        <v>517.04999999999995</v>
      </c>
      <c r="G14" s="20">
        <v>0</v>
      </c>
      <c r="H14" s="27">
        <v>0</v>
      </c>
      <c r="I14" s="20">
        <v>23.78</v>
      </c>
      <c r="J14" s="11" t="s">
        <v>170</v>
      </c>
      <c r="K14" s="11" t="s">
        <v>170</v>
      </c>
      <c r="L14" s="11"/>
      <c r="M14" s="18">
        <f t="shared" si="0"/>
        <v>550.03</v>
      </c>
    </row>
    <row r="15" spans="1:13">
      <c r="A15" s="25" t="s">
        <v>38</v>
      </c>
      <c r="B15" s="25">
        <v>5</v>
      </c>
      <c r="C15" s="25">
        <v>4</v>
      </c>
      <c r="D15" s="20">
        <v>549.85</v>
      </c>
      <c r="E15" s="20">
        <v>38.200000000000003</v>
      </c>
      <c r="F15" s="20">
        <v>511.65</v>
      </c>
      <c r="G15" s="20">
        <v>0</v>
      </c>
      <c r="H15" s="27">
        <v>0</v>
      </c>
      <c r="I15" s="20">
        <v>23.73</v>
      </c>
      <c r="J15" s="11" t="s">
        <v>170</v>
      </c>
      <c r="K15" s="11" t="s">
        <v>170</v>
      </c>
      <c r="L15" s="11"/>
      <c r="M15" s="18">
        <f t="shared" si="0"/>
        <v>549.85</v>
      </c>
    </row>
    <row r="16" spans="1:13">
      <c r="A16" s="25" t="s">
        <v>39</v>
      </c>
      <c r="B16" s="25">
        <v>1</v>
      </c>
      <c r="C16" s="25">
        <v>0</v>
      </c>
      <c r="D16" s="20">
        <v>617.26</v>
      </c>
      <c r="E16" s="20">
        <v>60.07</v>
      </c>
      <c r="F16" s="20">
        <v>557.19000000000005</v>
      </c>
      <c r="G16" s="20">
        <v>0</v>
      </c>
      <c r="H16" s="27">
        <v>0</v>
      </c>
      <c r="I16" s="20">
        <v>23.27</v>
      </c>
      <c r="J16" s="11" t="s">
        <v>170</v>
      </c>
      <c r="K16" s="11" t="s">
        <v>170</v>
      </c>
      <c r="L16" s="11"/>
      <c r="M16" s="18">
        <f t="shared" si="0"/>
        <v>617.26</v>
      </c>
    </row>
    <row r="17" spans="1:13">
      <c r="A17" s="25" t="s">
        <v>39</v>
      </c>
      <c r="B17" s="25">
        <v>2</v>
      </c>
      <c r="C17" s="25">
        <v>1</v>
      </c>
      <c r="D17" s="20">
        <v>586.33000000000004</v>
      </c>
      <c r="E17" s="20">
        <v>55.55</v>
      </c>
      <c r="F17" s="20">
        <v>530.78</v>
      </c>
      <c r="G17" s="20">
        <v>0</v>
      </c>
      <c r="H17" s="27">
        <v>0</v>
      </c>
      <c r="I17" s="20">
        <v>23.97</v>
      </c>
      <c r="J17" s="11" t="s">
        <v>170</v>
      </c>
      <c r="K17" s="11" t="s">
        <v>170</v>
      </c>
      <c r="L17" s="11"/>
      <c r="M17" s="18">
        <f t="shared" si="0"/>
        <v>586.33000000000004</v>
      </c>
    </row>
    <row r="18" spans="1:13">
      <c r="A18" s="25" t="s">
        <v>39</v>
      </c>
      <c r="B18" s="25">
        <v>3</v>
      </c>
      <c r="C18" s="25">
        <v>2</v>
      </c>
      <c r="D18" s="20">
        <v>631.82000000000005</v>
      </c>
      <c r="E18" s="20">
        <v>85.13</v>
      </c>
      <c r="F18" s="20">
        <v>546.69000000000005</v>
      </c>
      <c r="G18" s="20">
        <v>0</v>
      </c>
      <c r="H18" s="27">
        <v>0</v>
      </c>
      <c r="I18" s="20">
        <v>22.64</v>
      </c>
      <c r="J18" s="11" t="s">
        <v>170</v>
      </c>
      <c r="K18" s="11" t="s">
        <v>170</v>
      </c>
      <c r="L18" s="11"/>
      <c r="M18" s="18">
        <f t="shared" si="0"/>
        <v>631.82000000000005</v>
      </c>
    </row>
    <row r="19" spans="1:13">
      <c r="A19" s="25" t="s">
        <v>39</v>
      </c>
      <c r="B19" s="25">
        <v>4</v>
      </c>
      <c r="C19" s="25">
        <v>3</v>
      </c>
      <c r="D19" s="20">
        <v>586.33000000000004</v>
      </c>
      <c r="E19" s="20">
        <v>55.55</v>
      </c>
      <c r="F19" s="20">
        <v>530.78</v>
      </c>
      <c r="G19" s="20">
        <v>0</v>
      </c>
      <c r="H19" s="27">
        <v>0</v>
      </c>
      <c r="I19" s="20">
        <v>21.44</v>
      </c>
      <c r="J19" s="11" t="s">
        <v>170</v>
      </c>
      <c r="K19" s="11" t="s">
        <v>170</v>
      </c>
      <c r="L19" s="11"/>
      <c r="M19" s="18">
        <f t="shared" si="0"/>
        <v>586.33000000000004</v>
      </c>
    </row>
    <row r="20" spans="1:13">
      <c r="A20" s="25" t="s">
        <v>39</v>
      </c>
      <c r="B20" s="25">
        <v>5</v>
      </c>
      <c r="C20" s="25">
        <v>4</v>
      </c>
      <c r="D20" s="20">
        <v>584.26</v>
      </c>
      <c r="E20" s="20">
        <v>51.62</v>
      </c>
      <c r="F20" s="20">
        <v>532.64</v>
      </c>
      <c r="G20" s="20">
        <v>0</v>
      </c>
      <c r="H20" s="27">
        <v>0</v>
      </c>
      <c r="I20" s="20">
        <v>22.91</v>
      </c>
      <c r="J20" s="11" t="s">
        <v>170</v>
      </c>
      <c r="K20" s="11" t="s">
        <v>170</v>
      </c>
      <c r="L20" s="11"/>
      <c r="M20" s="18">
        <f t="shared" si="0"/>
        <v>584.26</v>
      </c>
    </row>
    <row r="21" spans="1:13">
      <c r="A21" s="25" t="s">
        <v>40</v>
      </c>
      <c r="B21" s="25">
        <v>1</v>
      </c>
      <c r="C21" s="25">
        <v>0</v>
      </c>
      <c r="D21" s="20">
        <v>798.48</v>
      </c>
      <c r="E21" s="20">
        <v>235.87</v>
      </c>
      <c r="F21" s="20">
        <v>562.61</v>
      </c>
      <c r="G21" s="20">
        <v>0</v>
      </c>
      <c r="H21" s="27">
        <v>0</v>
      </c>
      <c r="I21" s="20">
        <v>14.9</v>
      </c>
      <c r="J21" s="11" t="s">
        <v>170</v>
      </c>
      <c r="K21" s="11" t="s">
        <v>170</v>
      </c>
      <c r="L21" s="11"/>
      <c r="M21" s="18">
        <f t="shared" si="0"/>
        <v>798.48</v>
      </c>
    </row>
    <row r="22" spans="1:13">
      <c r="A22" s="25" t="s">
        <v>40</v>
      </c>
      <c r="B22" s="25">
        <v>2</v>
      </c>
      <c r="C22" s="25">
        <v>1</v>
      </c>
      <c r="D22" s="20">
        <v>813.84</v>
      </c>
      <c r="E22" s="20">
        <v>218.97</v>
      </c>
      <c r="F22" s="20">
        <v>594.87</v>
      </c>
      <c r="G22" s="20">
        <v>0</v>
      </c>
      <c r="H22" s="27">
        <v>0</v>
      </c>
      <c r="I22" s="20">
        <v>14.88</v>
      </c>
      <c r="J22" s="11" t="s">
        <v>170</v>
      </c>
      <c r="K22" s="11" t="s">
        <v>170</v>
      </c>
      <c r="L22" s="11"/>
      <c r="M22" s="18">
        <f t="shared" si="0"/>
        <v>813.84</v>
      </c>
    </row>
    <row r="23" spans="1:13">
      <c r="A23" s="25" t="s">
        <v>40</v>
      </c>
      <c r="B23" s="25">
        <v>3</v>
      </c>
      <c r="C23" s="25">
        <v>2</v>
      </c>
      <c r="D23" s="20">
        <v>794.24</v>
      </c>
      <c r="E23" s="20">
        <v>219.26</v>
      </c>
      <c r="F23" s="20">
        <v>574.97</v>
      </c>
      <c r="G23" s="20">
        <v>0</v>
      </c>
      <c r="H23" s="27">
        <v>0</v>
      </c>
      <c r="I23" s="20">
        <v>14.67</v>
      </c>
      <c r="J23" s="11" t="s">
        <v>170</v>
      </c>
      <c r="K23" s="11" t="s">
        <v>170</v>
      </c>
      <c r="L23" s="11"/>
      <c r="M23" s="18">
        <f t="shared" si="0"/>
        <v>794.24</v>
      </c>
    </row>
    <row r="24" spans="1:13">
      <c r="A24" s="25" t="s">
        <v>40</v>
      </c>
      <c r="B24" s="25">
        <v>4</v>
      </c>
      <c r="C24" s="25">
        <v>3</v>
      </c>
      <c r="D24" s="20">
        <v>794.24</v>
      </c>
      <c r="E24" s="20">
        <v>219.26</v>
      </c>
      <c r="F24" s="20">
        <v>574.97</v>
      </c>
      <c r="G24" s="20">
        <v>0</v>
      </c>
      <c r="H24" s="27">
        <v>0</v>
      </c>
      <c r="I24" s="20">
        <v>14.57</v>
      </c>
      <c r="J24" s="11" t="s">
        <v>170</v>
      </c>
      <c r="K24" s="11" t="s">
        <v>170</v>
      </c>
      <c r="L24" s="11"/>
      <c r="M24" s="18">
        <f t="shared" si="0"/>
        <v>794.24</v>
      </c>
    </row>
    <row r="25" spans="1:13">
      <c r="A25" s="25" t="s">
        <v>40</v>
      </c>
      <c r="B25" s="25">
        <v>5</v>
      </c>
      <c r="C25" s="25">
        <v>4</v>
      </c>
      <c r="D25" s="20">
        <v>794.24</v>
      </c>
      <c r="E25" s="20">
        <v>219.26</v>
      </c>
      <c r="F25" s="20">
        <v>574.97</v>
      </c>
      <c r="G25" s="20">
        <v>0</v>
      </c>
      <c r="H25" s="27">
        <v>0</v>
      </c>
      <c r="I25" s="20">
        <v>15.02</v>
      </c>
      <c r="J25" s="11" t="s">
        <v>170</v>
      </c>
      <c r="K25" s="11" t="s">
        <v>170</v>
      </c>
      <c r="L25" s="11"/>
      <c r="M25" s="18">
        <f t="shared" si="0"/>
        <v>794.24</v>
      </c>
    </row>
    <row r="26" spans="1:13">
      <c r="A26" s="25" t="s">
        <v>41</v>
      </c>
      <c r="B26" s="25">
        <v>1</v>
      </c>
      <c r="C26" s="25">
        <v>0</v>
      </c>
      <c r="D26" s="20">
        <v>946.11</v>
      </c>
      <c r="E26" s="20">
        <v>397.23</v>
      </c>
      <c r="F26" s="20">
        <v>548.88</v>
      </c>
      <c r="G26" s="20">
        <v>0</v>
      </c>
      <c r="H26" s="27">
        <v>0</v>
      </c>
      <c r="I26" s="20">
        <v>15.91</v>
      </c>
      <c r="J26" s="11" t="s">
        <v>170</v>
      </c>
      <c r="K26" s="11" t="s">
        <v>170</v>
      </c>
      <c r="L26" s="11"/>
      <c r="M26" s="18">
        <f t="shared" si="0"/>
        <v>946.11</v>
      </c>
    </row>
    <row r="27" spans="1:13">
      <c r="A27" s="25" t="s">
        <v>41</v>
      </c>
      <c r="B27" s="25">
        <v>2</v>
      </c>
      <c r="C27" s="25">
        <v>1</v>
      </c>
      <c r="D27" s="20">
        <v>946.11</v>
      </c>
      <c r="E27" s="20">
        <v>397.23</v>
      </c>
      <c r="F27" s="20">
        <v>548.88</v>
      </c>
      <c r="G27" s="20">
        <v>0</v>
      </c>
      <c r="H27" s="27">
        <v>0</v>
      </c>
      <c r="I27" s="20">
        <v>15.6</v>
      </c>
      <c r="J27" s="11" t="s">
        <v>170</v>
      </c>
      <c r="K27" s="11" t="s">
        <v>170</v>
      </c>
      <c r="L27" s="11"/>
      <c r="M27" s="18">
        <f t="shared" si="0"/>
        <v>946.11</v>
      </c>
    </row>
    <row r="28" spans="1:13">
      <c r="A28" s="25" t="s">
        <v>41</v>
      </c>
      <c r="B28" s="25">
        <v>3</v>
      </c>
      <c r="C28" s="25">
        <v>2</v>
      </c>
      <c r="D28" s="20">
        <v>1008.79</v>
      </c>
      <c r="E28" s="20">
        <v>460.99</v>
      </c>
      <c r="F28" s="20">
        <v>547.79999999999995</v>
      </c>
      <c r="G28" s="20">
        <v>0</v>
      </c>
      <c r="H28" s="27">
        <v>0</v>
      </c>
      <c r="I28" s="20">
        <v>15.68</v>
      </c>
      <c r="J28" s="11" t="s">
        <v>170</v>
      </c>
      <c r="K28" s="11" t="s">
        <v>170</v>
      </c>
      <c r="L28" s="11"/>
      <c r="M28" s="18">
        <f t="shared" si="0"/>
        <v>1008.79</v>
      </c>
    </row>
    <row r="29" spans="1:13">
      <c r="A29" s="25" t="s">
        <v>41</v>
      </c>
      <c r="B29" s="25">
        <v>4</v>
      </c>
      <c r="C29" s="25">
        <v>3</v>
      </c>
      <c r="D29" s="20">
        <v>946.11</v>
      </c>
      <c r="E29" s="20">
        <v>397.23</v>
      </c>
      <c r="F29" s="20">
        <v>548.88</v>
      </c>
      <c r="G29" s="20">
        <v>0</v>
      </c>
      <c r="H29" s="27">
        <v>0</v>
      </c>
      <c r="I29" s="20">
        <v>15.45</v>
      </c>
      <c r="J29" s="11" t="s">
        <v>170</v>
      </c>
      <c r="K29" s="11" t="s">
        <v>170</v>
      </c>
      <c r="L29" s="11"/>
      <c r="M29" s="18">
        <f t="shared" si="0"/>
        <v>946.11</v>
      </c>
    </row>
    <row r="30" spans="1:13">
      <c r="A30" s="25" t="s">
        <v>41</v>
      </c>
      <c r="B30" s="25">
        <v>5</v>
      </c>
      <c r="C30" s="25">
        <v>4</v>
      </c>
      <c r="D30" s="20">
        <v>1008.79</v>
      </c>
      <c r="E30" s="20">
        <v>460.99</v>
      </c>
      <c r="F30" s="20">
        <v>547.79999999999995</v>
      </c>
      <c r="G30" s="20">
        <v>0</v>
      </c>
      <c r="H30" s="27">
        <v>0</v>
      </c>
      <c r="I30" s="20">
        <v>15.91</v>
      </c>
      <c r="J30" s="11" t="s">
        <v>170</v>
      </c>
      <c r="K30" s="11" t="s">
        <v>170</v>
      </c>
      <c r="L30" s="11"/>
      <c r="M30" s="18">
        <f t="shared" si="0"/>
        <v>1008.79</v>
      </c>
    </row>
    <row r="31" spans="1:13">
      <c r="A31" s="25" t="s">
        <v>42</v>
      </c>
      <c r="B31" s="25">
        <v>1</v>
      </c>
      <c r="C31" s="25">
        <v>0</v>
      </c>
      <c r="D31" s="20">
        <v>480.2</v>
      </c>
      <c r="E31" s="20">
        <v>2.72</v>
      </c>
      <c r="F31" s="20">
        <v>477.48</v>
      </c>
      <c r="G31" s="20">
        <v>0</v>
      </c>
      <c r="H31" s="27">
        <v>0</v>
      </c>
      <c r="I31" s="20">
        <v>22.66</v>
      </c>
      <c r="J31" s="11" t="s">
        <v>170</v>
      </c>
      <c r="K31" s="11" t="s">
        <v>170</v>
      </c>
      <c r="L31" s="11"/>
      <c r="M31" s="18">
        <f t="shared" si="0"/>
        <v>480.2</v>
      </c>
    </row>
    <row r="32" spans="1:13">
      <c r="A32" s="25" t="s">
        <v>42</v>
      </c>
      <c r="B32" s="25">
        <v>2</v>
      </c>
      <c r="C32" s="25">
        <v>1</v>
      </c>
      <c r="D32" s="20">
        <v>480.2</v>
      </c>
      <c r="E32" s="20">
        <v>2.72</v>
      </c>
      <c r="F32" s="20">
        <v>477.48</v>
      </c>
      <c r="G32" s="20">
        <v>0</v>
      </c>
      <c r="H32" s="27">
        <v>0</v>
      </c>
      <c r="I32" s="20">
        <v>20.46</v>
      </c>
      <c r="J32" s="11" t="s">
        <v>170</v>
      </c>
      <c r="K32" s="11" t="s">
        <v>170</v>
      </c>
      <c r="L32" s="11"/>
      <c r="M32" s="18">
        <f t="shared" si="0"/>
        <v>480.2</v>
      </c>
    </row>
    <row r="33" spans="1:13">
      <c r="A33" s="25" t="s">
        <v>42</v>
      </c>
      <c r="B33" s="25">
        <v>3</v>
      </c>
      <c r="C33" s="25">
        <v>2</v>
      </c>
      <c r="D33" s="20">
        <v>506.19</v>
      </c>
      <c r="E33" s="20">
        <v>2.72</v>
      </c>
      <c r="F33" s="20">
        <v>503.46</v>
      </c>
      <c r="G33" s="20">
        <v>0</v>
      </c>
      <c r="H33" s="27">
        <v>0</v>
      </c>
      <c r="I33" s="20">
        <v>21.36</v>
      </c>
      <c r="J33" s="11" t="s">
        <v>170</v>
      </c>
      <c r="K33" s="11" t="s">
        <v>170</v>
      </c>
      <c r="L33" s="11"/>
      <c r="M33" s="18">
        <f t="shared" si="0"/>
        <v>506.19</v>
      </c>
    </row>
    <row r="34" spans="1:13">
      <c r="A34" s="25" t="s">
        <v>42</v>
      </c>
      <c r="B34" s="25">
        <v>4</v>
      </c>
      <c r="C34" s="25">
        <v>3</v>
      </c>
      <c r="D34" s="20">
        <v>484.44</v>
      </c>
      <c r="E34" s="20">
        <v>2.72</v>
      </c>
      <c r="F34" s="20">
        <v>481.72</v>
      </c>
      <c r="G34" s="20">
        <v>0</v>
      </c>
      <c r="H34" s="27">
        <v>0</v>
      </c>
      <c r="I34" s="20">
        <v>22.17</v>
      </c>
      <c r="J34" s="11" t="s">
        <v>170</v>
      </c>
      <c r="K34" s="11" t="s">
        <v>170</v>
      </c>
      <c r="L34" s="11"/>
      <c r="M34" s="18">
        <f t="shared" si="0"/>
        <v>484.44</v>
      </c>
    </row>
    <row r="35" spans="1:13">
      <c r="A35" s="25" t="s">
        <v>42</v>
      </c>
      <c r="B35" s="25">
        <v>5</v>
      </c>
      <c r="C35" s="25">
        <v>4</v>
      </c>
      <c r="D35" s="20">
        <v>484.44</v>
      </c>
      <c r="E35" s="20">
        <v>2.72</v>
      </c>
      <c r="F35" s="20">
        <v>481.72</v>
      </c>
      <c r="G35" s="20">
        <v>0</v>
      </c>
      <c r="H35" s="27">
        <v>0</v>
      </c>
      <c r="I35" s="20">
        <v>20.28</v>
      </c>
      <c r="J35" s="11" t="s">
        <v>170</v>
      </c>
      <c r="K35" s="11" t="s">
        <v>170</v>
      </c>
      <c r="L35" s="11"/>
      <c r="M35" s="18">
        <f t="shared" si="0"/>
        <v>484.44</v>
      </c>
    </row>
    <row r="36" spans="1:13">
      <c r="A36" s="25" t="s">
        <v>43</v>
      </c>
      <c r="B36" s="25">
        <v>1</v>
      </c>
      <c r="C36" s="25">
        <v>0</v>
      </c>
      <c r="D36" s="20">
        <v>480.2</v>
      </c>
      <c r="E36" s="20">
        <v>2.72</v>
      </c>
      <c r="F36" s="20">
        <v>477.48</v>
      </c>
      <c r="G36" s="20">
        <v>0</v>
      </c>
      <c r="H36" s="27">
        <v>0</v>
      </c>
      <c r="I36" s="20">
        <v>21.29</v>
      </c>
      <c r="J36" s="11" t="s">
        <v>170</v>
      </c>
      <c r="K36" s="11" t="s">
        <v>170</v>
      </c>
      <c r="L36" s="11"/>
      <c r="M36" s="18">
        <f t="shared" si="0"/>
        <v>480.2</v>
      </c>
    </row>
    <row r="37" spans="1:13">
      <c r="A37" s="25" t="s">
        <v>43</v>
      </c>
      <c r="B37" s="25">
        <v>2</v>
      </c>
      <c r="C37" s="25">
        <v>1</v>
      </c>
      <c r="D37" s="20">
        <v>480.2</v>
      </c>
      <c r="E37" s="20">
        <v>2.72</v>
      </c>
      <c r="F37" s="20">
        <v>477.48</v>
      </c>
      <c r="G37" s="20">
        <v>0</v>
      </c>
      <c r="H37" s="27">
        <v>0</v>
      </c>
      <c r="I37" s="20">
        <v>20.83</v>
      </c>
      <c r="J37" s="11" t="s">
        <v>170</v>
      </c>
      <c r="K37" s="11" t="s">
        <v>170</v>
      </c>
      <c r="L37" s="11"/>
      <c r="M37" s="18">
        <f t="shared" si="0"/>
        <v>480.2</v>
      </c>
    </row>
    <row r="38" spans="1:13">
      <c r="A38" s="25" t="s">
        <v>43</v>
      </c>
      <c r="B38" s="25">
        <v>3</v>
      </c>
      <c r="C38" s="25">
        <v>2</v>
      </c>
      <c r="D38" s="20">
        <v>519.01</v>
      </c>
      <c r="E38" s="20">
        <v>18.2</v>
      </c>
      <c r="F38" s="20">
        <v>500.81</v>
      </c>
      <c r="G38" s="20">
        <v>0</v>
      </c>
      <c r="H38" s="27">
        <v>0</v>
      </c>
      <c r="I38" s="20">
        <v>20.05</v>
      </c>
      <c r="J38" s="11" t="s">
        <v>170</v>
      </c>
      <c r="K38" s="11" t="s">
        <v>170</v>
      </c>
      <c r="L38" s="11"/>
      <c r="M38" s="18">
        <f t="shared" si="0"/>
        <v>519.01</v>
      </c>
    </row>
    <row r="39" spans="1:13">
      <c r="A39" s="25" t="s">
        <v>43</v>
      </c>
      <c r="B39" s="25">
        <v>4</v>
      </c>
      <c r="C39" s="25">
        <v>3</v>
      </c>
      <c r="D39" s="20">
        <v>493.19</v>
      </c>
      <c r="E39" s="20">
        <v>2.72</v>
      </c>
      <c r="F39" s="20">
        <v>490.47</v>
      </c>
      <c r="G39" s="20">
        <v>0</v>
      </c>
      <c r="H39" s="27">
        <v>0</v>
      </c>
      <c r="I39" s="20">
        <v>20.16</v>
      </c>
      <c r="J39" s="11" t="s">
        <v>170</v>
      </c>
      <c r="K39" s="11" t="s">
        <v>170</v>
      </c>
      <c r="L39" s="11"/>
      <c r="M39" s="18">
        <f t="shared" si="0"/>
        <v>493.19</v>
      </c>
    </row>
    <row r="40" spans="1:13">
      <c r="A40" s="25" t="s">
        <v>43</v>
      </c>
      <c r="B40" s="25">
        <v>5</v>
      </c>
      <c r="C40" s="25">
        <v>4</v>
      </c>
      <c r="D40" s="20">
        <v>480.2</v>
      </c>
      <c r="E40" s="20">
        <v>2.72</v>
      </c>
      <c r="F40" s="20">
        <v>477.48</v>
      </c>
      <c r="G40" s="20">
        <v>0</v>
      </c>
      <c r="H40" s="27">
        <v>0</v>
      </c>
      <c r="I40" s="20">
        <v>20.82</v>
      </c>
      <c r="J40" s="11" t="s">
        <v>170</v>
      </c>
      <c r="K40" s="11" t="s">
        <v>170</v>
      </c>
      <c r="L40" s="11"/>
      <c r="M40" s="18">
        <f t="shared" si="0"/>
        <v>480.2</v>
      </c>
    </row>
    <row r="41" spans="1:13">
      <c r="A41" s="25" t="s">
        <v>44</v>
      </c>
      <c r="B41" s="25">
        <v>1</v>
      </c>
      <c r="C41" s="25">
        <v>0</v>
      </c>
      <c r="D41" s="20">
        <v>561.4</v>
      </c>
      <c r="E41" s="20">
        <v>79.67</v>
      </c>
      <c r="F41" s="20">
        <v>481.73</v>
      </c>
      <c r="G41" s="20">
        <v>0</v>
      </c>
      <c r="H41" s="27">
        <v>0</v>
      </c>
      <c r="I41" s="20">
        <v>23.32</v>
      </c>
      <c r="J41" s="11" t="s">
        <v>170</v>
      </c>
      <c r="K41" s="11" t="s">
        <v>170</v>
      </c>
      <c r="L41" s="11"/>
      <c r="M41" s="18">
        <f t="shared" si="0"/>
        <v>561.4</v>
      </c>
    </row>
    <row r="42" spans="1:13">
      <c r="A42" s="25" t="s">
        <v>44</v>
      </c>
      <c r="B42" s="25">
        <v>2</v>
      </c>
      <c r="C42" s="25">
        <v>1</v>
      </c>
      <c r="D42" s="20">
        <v>561.4</v>
      </c>
      <c r="E42" s="20">
        <v>79.67</v>
      </c>
      <c r="F42" s="20">
        <v>481.73</v>
      </c>
      <c r="G42" s="20">
        <v>0</v>
      </c>
      <c r="H42" s="27">
        <v>0</v>
      </c>
      <c r="I42" s="20">
        <v>23.48</v>
      </c>
      <c r="J42" s="11" t="s">
        <v>170</v>
      </c>
      <c r="K42" s="11" t="s">
        <v>170</v>
      </c>
      <c r="L42" s="11"/>
      <c r="M42" s="18">
        <f t="shared" si="0"/>
        <v>561.4</v>
      </c>
    </row>
    <row r="43" spans="1:13">
      <c r="A43" s="25" t="s">
        <v>44</v>
      </c>
      <c r="B43" s="25">
        <v>3</v>
      </c>
      <c r="C43" s="25">
        <v>2</v>
      </c>
      <c r="D43" s="20">
        <v>561.4</v>
      </c>
      <c r="E43" s="20">
        <v>79.67</v>
      </c>
      <c r="F43" s="20">
        <v>481.73</v>
      </c>
      <c r="G43" s="20">
        <v>0</v>
      </c>
      <c r="H43" s="27">
        <v>0</v>
      </c>
      <c r="I43" s="20">
        <v>22.22</v>
      </c>
      <c r="J43" s="11" t="s">
        <v>170</v>
      </c>
      <c r="K43" s="11" t="s">
        <v>170</v>
      </c>
      <c r="L43" s="11"/>
      <c r="M43" s="18">
        <f t="shared" si="0"/>
        <v>561.4</v>
      </c>
    </row>
    <row r="44" spans="1:13">
      <c r="A44" s="25" t="s">
        <v>44</v>
      </c>
      <c r="B44" s="25">
        <v>4</v>
      </c>
      <c r="C44" s="25">
        <v>3</v>
      </c>
      <c r="D44" s="20">
        <v>561.4</v>
      </c>
      <c r="E44" s="20">
        <v>79.67</v>
      </c>
      <c r="F44" s="20">
        <v>481.73</v>
      </c>
      <c r="G44" s="20">
        <v>0</v>
      </c>
      <c r="H44" s="27">
        <v>0</v>
      </c>
      <c r="I44" s="20">
        <v>18.8</v>
      </c>
      <c r="J44" s="11" t="s">
        <v>170</v>
      </c>
      <c r="K44" s="11" t="s">
        <v>170</v>
      </c>
      <c r="L44" s="11"/>
      <c r="M44" s="18">
        <f t="shared" si="0"/>
        <v>561.4</v>
      </c>
    </row>
    <row r="45" spans="1:13">
      <c r="A45" s="25" t="s">
        <v>44</v>
      </c>
      <c r="B45" s="25">
        <v>5</v>
      </c>
      <c r="C45" s="25">
        <v>4</v>
      </c>
      <c r="D45" s="20">
        <v>584.39</v>
      </c>
      <c r="E45" s="20">
        <v>86.1</v>
      </c>
      <c r="F45" s="20">
        <v>498.29</v>
      </c>
      <c r="G45" s="20">
        <v>0</v>
      </c>
      <c r="H45" s="27">
        <v>0</v>
      </c>
      <c r="I45" s="20">
        <v>18.55</v>
      </c>
      <c r="J45" s="11" t="s">
        <v>170</v>
      </c>
      <c r="K45" s="11" t="s">
        <v>170</v>
      </c>
      <c r="L45" s="11"/>
      <c r="M45" s="18">
        <f t="shared" si="0"/>
        <v>584.39</v>
      </c>
    </row>
    <row r="46" spans="1:13">
      <c r="A46" s="25" t="s">
        <v>45</v>
      </c>
      <c r="B46" s="25">
        <v>1</v>
      </c>
      <c r="C46" s="25">
        <v>0</v>
      </c>
      <c r="D46" s="20">
        <v>811.29</v>
      </c>
      <c r="E46" s="20">
        <v>329.56</v>
      </c>
      <c r="F46" s="20">
        <v>481.73</v>
      </c>
      <c r="G46" s="20">
        <v>0</v>
      </c>
      <c r="H46" s="27">
        <v>0</v>
      </c>
      <c r="I46" s="20">
        <v>15.01</v>
      </c>
      <c r="J46" s="11" t="s">
        <v>170</v>
      </c>
      <c r="K46" s="11" t="s">
        <v>170</v>
      </c>
      <c r="L46" s="11"/>
      <c r="M46" s="18">
        <f t="shared" si="0"/>
        <v>811.29</v>
      </c>
    </row>
    <row r="47" spans="1:13">
      <c r="A47" s="25" t="s">
        <v>45</v>
      </c>
      <c r="B47" s="25">
        <v>2</v>
      </c>
      <c r="C47" s="25">
        <v>1</v>
      </c>
      <c r="D47" s="20">
        <v>794.98</v>
      </c>
      <c r="E47" s="20">
        <v>283.68</v>
      </c>
      <c r="F47" s="20">
        <v>511.3</v>
      </c>
      <c r="G47" s="20">
        <v>0</v>
      </c>
      <c r="H47" s="27">
        <v>0</v>
      </c>
      <c r="I47" s="20">
        <v>15.03</v>
      </c>
      <c r="J47" s="11" t="s">
        <v>170</v>
      </c>
      <c r="K47" s="11" t="s">
        <v>170</v>
      </c>
      <c r="L47" s="11"/>
      <c r="M47" s="18">
        <f t="shared" si="0"/>
        <v>794.98</v>
      </c>
    </row>
    <row r="48" spans="1:13">
      <c r="A48" s="25" t="s">
        <v>45</v>
      </c>
      <c r="B48" s="25">
        <v>3</v>
      </c>
      <c r="C48" s="25">
        <v>2</v>
      </c>
      <c r="D48" s="20">
        <v>811.29</v>
      </c>
      <c r="E48" s="20">
        <v>329.56</v>
      </c>
      <c r="F48" s="20">
        <v>481.73</v>
      </c>
      <c r="G48" s="20">
        <v>0</v>
      </c>
      <c r="H48" s="27">
        <v>0</v>
      </c>
      <c r="I48" s="20">
        <v>14.77</v>
      </c>
      <c r="J48" s="11" t="s">
        <v>170</v>
      </c>
      <c r="K48" s="11" t="s">
        <v>170</v>
      </c>
      <c r="L48" s="11"/>
      <c r="M48" s="18">
        <f t="shared" si="0"/>
        <v>811.29</v>
      </c>
    </row>
    <row r="49" spans="1:13">
      <c r="A49" s="25" t="s">
        <v>45</v>
      </c>
      <c r="B49" s="25">
        <v>4</v>
      </c>
      <c r="C49" s="25">
        <v>3</v>
      </c>
      <c r="D49" s="20">
        <v>794.98</v>
      </c>
      <c r="E49" s="20">
        <v>283.68</v>
      </c>
      <c r="F49" s="20">
        <v>511.3</v>
      </c>
      <c r="G49" s="20">
        <v>0</v>
      </c>
      <c r="H49" s="27">
        <v>0</v>
      </c>
      <c r="I49" s="20">
        <v>14.61</v>
      </c>
      <c r="J49" s="11" t="s">
        <v>170</v>
      </c>
      <c r="K49" s="11" t="s">
        <v>170</v>
      </c>
      <c r="L49" s="11"/>
      <c r="M49" s="18">
        <f t="shared" si="0"/>
        <v>794.98</v>
      </c>
    </row>
    <row r="50" spans="1:13">
      <c r="A50" s="25" t="s">
        <v>45</v>
      </c>
      <c r="B50" s="25">
        <v>5</v>
      </c>
      <c r="C50" s="25">
        <v>4</v>
      </c>
      <c r="D50" s="20">
        <v>794.98</v>
      </c>
      <c r="E50" s="20">
        <v>283.68</v>
      </c>
      <c r="F50" s="20">
        <v>511.3</v>
      </c>
      <c r="G50" s="20">
        <v>0</v>
      </c>
      <c r="H50" s="27">
        <v>0</v>
      </c>
      <c r="I50" s="20">
        <v>15.22</v>
      </c>
      <c r="J50" s="11" t="s">
        <v>170</v>
      </c>
      <c r="K50" s="11" t="s">
        <v>170</v>
      </c>
      <c r="L50" s="11"/>
      <c r="M50" s="18">
        <f t="shared" si="0"/>
        <v>794.98</v>
      </c>
    </row>
    <row r="51" spans="1:13">
      <c r="A51" s="25" t="s">
        <v>46</v>
      </c>
      <c r="B51" s="25">
        <v>1</v>
      </c>
      <c r="C51" s="25">
        <v>0</v>
      </c>
      <c r="D51" s="20">
        <v>880.88</v>
      </c>
      <c r="E51" s="20">
        <v>399.15</v>
      </c>
      <c r="F51" s="20">
        <v>481.73</v>
      </c>
      <c r="G51" s="20">
        <v>0</v>
      </c>
      <c r="H51" s="27">
        <v>0</v>
      </c>
      <c r="I51" s="20">
        <v>15.9</v>
      </c>
      <c r="J51" s="11" t="s">
        <v>170</v>
      </c>
      <c r="K51" s="11" t="s">
        <v>170</v>
      </c>
      <c r="L51" s="11"/>
      <c r="M51" s="18">
        <f t="shared" si="0"/>
        <v>880.88</v>
      </c>
    </row>
    <row r="52" spans="1:13">
      <c r="A52" s="25" t="s">
        <v>46</v>
      </c>
      <c r="B52" s="25">
        <v>2</v>
      </c>
      <c r="C52" s="25">
        <v>1</v>
      </c>
      <c r="D52" s="20">
        <v>850.08</v>
      </c>
      <c r="E52" s="20">
        <v>337.81</v>
      </c>
      <c r="F52" s="20">
        <v>512.27</v>
      </c>
      <c r="G52" s="20">
        <v>0</v>
      </c>
      <c r="H52" s="27">
        <v>0</v>
      </c>
      <c r="I52" s="20">
        <v>15.58</v>
      </c>
      <c r="J52" s="11" t="s">
        <v>170</v>
      </c>
      <c r="K52" s="11" t="s">
        <v>170</v>
      </c>
      <c r="L52" s="11"/>
      <c r="M52" s="18">
        <f t="shared" si="0"/>
        <v>850.08</v>
      </c>
    </row>
    <row r="53" spans="1:13">
      <c r="A53" s="25" t="s">
        <v>46</v>
      </c>
      <c r="B53" s="25">
        <v>3</v>
      </c>
      <c r="C53" s="25">
        <v>2</v>
      </c>
      <c r="D53" s="20">
        <v>850.08</v>
      </c>
      <c r="E53" s="20">
        <v>337.81</v>
      </c>
      <c r="F53" s="20">
        <v>512.27</v>
      </c>
      <c r="G53" s="20">
        <v>0</v>
      </c>
      <c r="H53" s="27">
        <v>0</v>
      </c>
      <c r="I53" s="20">
        <v>15.24</v>
      </c>
      <c r="J53" s="11" t="s">
        <v>170</v>
      </c>
      <c r="K53" s="11" t="s">
        <v>170</v>
      </c>
      <c r="L53" s="11"/>
      <c r="M53" s="18">
        <f t="shared" si="0"/>
        <v>850.08</v>
      </c>
    </row>
    <row r="54" spans="1:13">
      <c r="A54" s="25" t="s">
        <v>46</v>
      </c>
      <c r="B54" s="25">
        <v>4</v>
      </c>
      <c r="C54" s="25">
        <v>3</v>
      </c>
      <c r="D54" s="20">
        <v>850.08</v>
      </c>
      <c r="E54" s="20">
        <v>337.81</v>
      </c>
      <c r="F54" s="20">
        <v>512.27</v>
      </c>
      <c r="G54" s="20">
        <v>0</v>
      </c>
      <c r="H54" s="27">
        <v>0</v>
      </c>
      <c r="I54" s="20">
        <v>14.79</v>
      </c>
      <c r="J54" s="11" t="s">
        <v>170</v>
      </c>
      <c r="K54" s="11" t="s">
        <v>170</v>
      </c>
      <c r="L54" s="11"/>
      <c r="M54" s="18">
        <f t="shared" si="0"/>
        <v>850.08</v>
      </c>
    </row>
    <row r="55" spans="1:13">
      <c r="A55" s="25" t="s">
        <v>46</v>
      </c>
      <c r="B55" s="25">
        <v>5</v>
      </c>
      <c r="C55" s="25">
        <v>4</v>
      </c>
      <c r="D55" s="20">
        <v>850.08</v>
      </c>
      <c r="E55" s="20">
        <v>337.81</v>
      </c>
      <c r="F55" s="20">
        <v>512.27</v>
      </c>
      <c r="G55" s="20">
        <v>0</v>
      </c>
      <c r="H55" s="27">
        <v>0</v>
      </c>
      <c r="I55" s="20">
        <v>13.82</v>
      </c>
      <c r="J55" s="11" t="s">
        <v>170</v>
      </c>
      <c r="K55" s="11" t="s">
        <v>170</v>
      </c>
      <c r="L55" s="11"/>
      <c r="M55" s="18">
        <f t="shared" si="0"/>
        <v>850.08</v>
      </c>
    </row>
    <row r="56" spans="1:13">
      <c r="A56" s="25" t="s">
        <v>47</v>
      </c>
      <c r="B56" s="25">
        <v>1</v>
      </c>
      <c r="C56" s="25">
        <v>0</v>
      </c>
      <c r="D56" s="20">
        <v>448.41</v>
      </c>
      <c r="E56" s="20">
        <v>0</v>
      </c>
      <c r="F56" s="20">
        <v>448.41</v>
      </c>
      <c r="G56" s="20">
        <v>0</v>
      </c>
      <c r="H56" s="27">
        <v>0</v>
      </c>
      <c r="I56" s="20">
        <v>23.49</v>
      </c>
      <c r="J56" s="11" t="s">
        <v>170</v>
      </c>
      <c r="K56" s="11" t="s">
        <v>170</v>
      </c>
      <c r="L56" s="11"/>
      <c r="M56" s="18">
        <f t="shared" si="0"/>
        <v>448.41</v>
      </c>
    </row>
    <row r="57" spans="1:13">
      <c r="A57" s="25" t="s">
        <v>47</v>
      </c>
      <c r="B57" s="25">
        <v>2</v>
      </c>
      <c r="C57" s="25">
        <v>1</v>
      </c>
      <c r="D57" s="20">
        <v>452.34</v>
      </c>
      <c r="E57" s="20">
        <v>0.91</v>
      </c>
      <c r="F57" s="20">
        <v>451.43</v>
      </c>
      <c r="G57" s="20">
        <v>0</v>
      </c>
      <c r="H57" s="27">
        <v>0</v>
      </c>
      <c r="I57" s="20">
        <v>23.28</v>
      </c>
      <c r="J57" s="11" t="s">
        <v>170</v>
      </c>
      <c r="K57" s="11" t="s">
        <v>170</v>
      </c>
      <c r="L57" s="11"/>
      <c r="M57" s="18">
        <f t="shared" si="0"/>
        <v>452.34</v>
      </c>
    </row>
    <row r="58" spans="1:13">
      <c r="A58" s="25" t="s">
        <v>47</v>
      </c>
      <c r="B58" s="25">
        <v>3</v>
      </c>
      <c r="C58" s="25">
        <v>2</v>
      </c>
      <c r="D58" s="20">
        <v>452.34</v>
      </c>
      <c r="E58" s="20">
        <v>0.91</v>
      </c>
      <c r="F58" s="20">
        <v>451.43</v>
      </c>
      <c r="G58" s="20">
        <v>0</v>
      </c>
      <c r="H58" s="27">
        <v>0</v>
      </c>
      <c r="I58" s="20">
        <v>21.27</v>
      </c>
      <c r="J58" s="11" t="s">
        <v>170</v>
      </c>
      <c r="K58" s="11" t="s">
        <v>170</v>
      </c>
      <c r="L58" s="11"/>
      <c r="M58" s="18">
        <f t="shared" si="0"/>
        <v>452.34</v>
      </c>
    </row>
    <row r="59" spans="1:13">
      <c r="A59" s="25" t="s">
        <v>47</v>
      </c>
      <c r="B59" s="25">
        <v>4</v>
      </c>
      <c r="C59" s="25">
        <v>3</v>
      </c>
      <c r="D59" s="20">
        <v>465.61</v>
      </c>
      <c r="E59" s="20">
        <v>24.62</v>
      </c>
      <c r="F59" s="20">
        <v>440.99</v>
      </c>
      <c r="G59" s="20">
        <v>0</v>
      </c>
      <c r="H59" s="27">
        <v>0</v>
      </c>
      <c r="I59" s="20">
        <v>20.5</v>
      </c>
      <c r="J59" s="11" t="s">
        <v>170</v>
      </c>
      <c r="K59" s="11" t="s">
        <v>170</v>
      </c>
      <c r="L59" s="11"/>
      <c r="M59" s="18">
        <f t="shared" si="0"/>
        <v>465.61</v>
      </c>
    </row>
    <row r="60" spans="1:13">
      <c r="A60" s="25" t="s">
        <v>47</v>
      </c>
      <c r="B60" s="25">
        <v>5</v>
      </c>
      <c r="C60" s="25">
        <v>4</v>
      </c>
      <c r="D60" s="20">
        <v>452.34</v>
      </c>
      <c r="E60" s="20">
        <v>0.91</v>
      </c>
      <c r="F60" s="20">
        <v>451.43</v>
      </c>
      <c r="G60" s="20">
        <v>0</v>
      </c>
      <c r="H60" s="27">
        <v>0</v>
      </c>
      <c r="I60" s="20">
        <v>20.38</v>
      </c>
      <c r="J60" s="11" t="s">
        <v>170</v>
      </c>
      <c r="K60" s="11" t="s">
        <v>170</v>
      </c>
      <c r="L60" s="11"/>
      <c r="M60" s="18">
        <f t="shared" si="0"/>
        <v>452.34</v>
      </c>
    </row>
    <row r="61" spans="1:13">
      <c r="A61" s="25" t="s">
        <v>48</v>
      </c>
      <c r="B61" s="25">
        <v>1</v>
      </c>
      <c r="C61" s="25">
        <v>0</v>
      </c>
      <c r="D61" s="20">
        <v>482.12</v>
      </c>
      <c r="E61" s="20">
        <v>35.1</v>
      </c>
      <c r="F61" s="20">
        <v>447.03</v>
      </c>
      <c r="G61" s="20">
        <v>0</v>
      </c>
      <c r="H61" s="27">
        <v>0</v>
      </c>
      <c r="I61" s="20">
        <v>19.62</v>
      </c>
      <c r="J61" s="11" t="s">
        <v>170</v>
      </c>
      <c r="K61" s="11" t="s">
        <v>170</v>
      </c>
      <c r="L61" s="11"/>
      <c r="M61" s="18">
        <f t="shared" si="0"/>
        <v>482.12</v>
      </c>
    </row>
    <row r="62" spans="1:13">
      <c r="A62" s="25" t="s">
        <v>48</v>
      </c>
      <c r="B62" s="25">
        <v>2</v>
      </c>
      <c r="C62" s="25">
        <v>1</v>
      </c>
      <c r="D62" s="20">
        <v>475.18</v>
      </c>
      <c r="E62" s="20">
        <v>18.5</v>
      </c>
      <c r="F62" s="20">
        <v>456.68</v>
      </c>
      <c r="G62" s="20">
        <v>0</v>
      </c>
      <c r="H62" s="27">
        <v>0</v>
      </c>
      <c r="I62" s="20">
        <v>19.48</v>
      </c>
      <c r="J62" s="11" t="s">
        <v>170</v>
      </c>
      <c r="K62" s="11" t="s">
        <v>170</v>
      </c>
      <c r="L62" s="11"/>
      <c r="M62" s="18">
        <f t="shared" si="0"/>
        <v>475.18</v>
      </c>
    </row>
    <row r="63" spans="1:13">
      <c r="A63" s="25" t="s">
        <v>48</v>
      </c>
      <c r="B63" s="25">
        <v>3</v>
      </c>
      <c r="C63" s="25">
        <v>2</v>
      </c>
      <c r="D63" s="20">
        <v>489.96</v>
      </c>
      <c r="E63" s="20">
        <v>35.1</v>
      </c>
      <c r="F63" s="20">
        <v>454.86</v>
      </c>
      <c r="G63" s="20">
        <v>0</v>
      </c>
      <c r="H63" s="27">
        <v>0</v>
      </c>
      <c r="I63" s="20">
        <v>18.14</v>
      </c>
      <c r="J63" s="11" t="s">
        <v>170</v>
      </c>
      <c r="K63" s="11" t="s">
        <v>170</v>
      </c>
      <c r="L63" s="11"/>
      <c r="M63" s="18">
        <f t="shared" si="0"/>
        <v>489.96</v>
      </c>
    </row>
    <row r="64" spans="1:13">
      <c r="A64" s="25" t="s">
        <v>48</v>
      </c>
      <c r="B64" s="25">
        <v>4</v>
      </c>
      <c r="C64" s="25">
        <v>3</v>
      </c>
      <c r="D64" s="20">
        <v>489.96</v>
      </c>
      <c r="E64" s="20">
        <v>35.1</v>
      </c>
      <c r="F64" s="20">
        <v>454.86</v>
      </c>
      <c r="G64" s="20">
        <v>0</v>
      </c>
      <c r="H64" s="27">
        <v>0</v>
      </c>
      <c r="I64" s="20">
        <v>18.29</v>
      </c>
      <c r="J64" s="11" t="s">
        <v>170</v>
      </c>
      <c r="K64" s="11" t="s">
        <v>170</v>
      </c>
      <c r="L64" s="11"/>
      <c r="M64" s="18">
        <f t="shared" si="0"/>
        <v>489.96</v>
      </c>
    </row>
    <row r="65" spans="1:13">
      <c r="A65" s="25" t="s">
        <v>48</v>
      </c>
      <c r="B65" s="25">
        <v>5</v>
      </c>
      <c r="C65" s="25">
        <v>4</v>
      </c>
      <c r="D65" s="20">
        <v>507.6</v>
      </c>
      <c r="E65" s="20">
        <v>35.1</v>
      </c>
      <c r="F65" s="20">
        <v>472.5</v>
      </c>
      <c r="G65" s="20">
        <v>0</v>
      </c>
      <c r="H65" s="27">
        <v>0</v>
      </c>
      <c r="I65" s="20">
        <v>21.76</v>
      </c>
      <c r="J65" s="11" t="s">
        <v>170</v>
      </c>
      <c r="K65" s="11" t="s">
        <v>170</v>
      </c>
      <c r="L65" s="11"/>
      <c r="M65" s="18">
        <f t="shared" si="0"/>
        <v>507.6</v>
      </c>
    </row>
    <row r="66" spans="1:13">
      <c r="A66" s="25" t="s">
        <v>49</v>
      </c>
      <c r="B66" s="25">
        <v>1</v>
      </c>
      <c r="C66" s="25">
        <v>0</v>
      </c>
      <c r="D66" s="20">
        <v>723.96</v>
      </c>
      <c r="E66" s="20">
        <v>279.08</v>
      </c>
      <c r="F66" s="20">
        <v>444.87</v>
      </c>
      <c r="G66" s="20">
        <v>0</v>
      </c>
      <c r="H66" s="27">
        <v>0</v>
      </c>
      <c r="I66" s="20">
        <v>16.75</v>
      </c>
      <c r="J66" s="11" t="s">
        <v>170</v>
      </c>
      <c r="K66" s="11" t="s">
        <v>170</v>
      </c>
      <c r="L66" s="11"/>
      <c r="M66" s="18">
        <f t="shared" si="0"/>
        <v>723.96</v>
      </c>
    </row>
    <row r="67" spans="1:13">
      <c r="A67" s="25" t="s">
        <v>49</v>
      </c>
      <c r="B67" s="25">
        <v>2</v>
      </c>
      <c r="C67" s="25">
        <v>1</v>
      </c>
      <c r="D67" s="20">
        <v>723.96</v>
      </c>
      <c r="E67" s="20">
        <v>279.08</v>
      </c>
      <c r="F67" s="20">
        <v>444.87</v>
      </c>
      <c r="G67" s="20">
        <v>0</v>
      </c>
      <c r="H67" s="27">
        <v>0</v>
      </c>
      <c r="I67" s="20">
        <v>18.809999999999999</v>
      </c>
      <c r="J67" s="11" t="s">
        <v>170</v>
      </c>
      <c r="K67" s="11" t="s">
        <v>170</v>
      </c>
      <c r="L67" s="11"/>
      <c r="M67" s="18">
        <f t="shared" si="0"/>
        <v>723.96</v>
      </c>
    </row>
    <row r="68" spans="1:13">
      <c r="A68" s="25" t="s">
        <v>49</v>
      </c>
      <c r="B68" s="25">
        <v>3</v>
      </c>
      <c r="C68" s="25">
        <v>2</v>
      </c>
      <c r="D68" s="20">
        <v>744.63</v>
      </c>
      <c r="E68" s="20">
        <v>268.88</v>
      </c>
      <c r="F68" s="20">
        <v>475.75</v>
      </c>
      <c r="G68" s="20">
        <v>0</v>
      </c>
      <c r="H68" s="27">
        <v>0</v>
      </c>
      <c r="I68" s="20">
        <v>21.94</v>
      </c>
      <c r="J68" s="11" t="s">
        <v>170</v>
      </c>
      <c r="K68" s="11" t="s">
        <v>170</v>
      </c>
      <c r="L68" s="11"/>
      <c r="M68" s="18">
        <f t="shared" si="0"/>
        <v>744.63</v>
      </c>
    </row>
    <row r="69" spans="1:13">
      <c r="A69" s="25" t="s">
        <v>49</v>
      </c>
      <c r="B69" s="25">
        <v>4</v>
      </c>
      <c r="C69" s="25">
        <v>3</v>
      </c>
      <c r="D69" s="20">
        <v>576.30999999999995</v>
      </c>
      <c r="E69" s="20">
        <v>121.19</v>
      </c>
      <c r="F69" s="20">
        <v>455.12</v>
      </c>
      <c r="G69" s="20">
        <v>0</v>
      </c>
      <c r="H69" s="27">
        <v>0</v>
      </c>
      <c r="I69" s="20">
        <v>19.2</v>
      </c>
      <c r="J69" s="11" t="s">
        <v>170</v>
      </c>
      <c r="K69" s="11" t="s">
        <v>170</v>
      </c>
      <c r="L69" s="11"/>
      <c r="M69" s="18">
        <f t="shared" si="0"/>
        <v>576.30999999999995</v>
      </c>
    </row>
    <row r="70" spans="1:13">
      <c r="A70" s="25" t="s">
        <v>49</v>
      </c>
      <c r="B70" s="25">
        <v>5</v>
      </c>
      <c r="C70" s="25">
        <v>4</v>
      </c>
      <c r="D70" s="20">
        <v>743.73</v>
      </c>
      <c r="E70" s="20">
        <v>268.88</v>
      </c>
      <c r="F70" s="20">
        <v>474.85</v>
      </c>
      <c r="G70" s="20">
        <v>0</v>
      </c>
      <c r="H70" s="27">
        <v>0</v>
      </c>
      <c r="I70" s="20">
        <v>17.47</v>
      </c>
      <c r="J70" s="11" t="s">
        <v>170</v>
      </c>
      <c r="K70" s="11" t="s">
        <v>170</v>
      </c>
      <c r="L70" s="11"/>
      <c r="M70" s="18">
        <f t="shared" ref="M70:M133" si="1">IF(AND(J70="Yes",K70="Yes",ISNUMBER(D70)),D70,"")</f>
        <v>743.73</v>
      </c>
    </row>
    <row r="71" spans="1:13">
      <c r="A71" s="25" t="s">
        <v>50</v>
      </c>
      <c r="B71" s="25">
        <v>1</v>
      </c>
      <c r="C71" s="25">
        <v>0</v>
      </c>
      <c r="D71" s="20">
        <v>805.65</v>
      </c>
      <c r="E71" s="20">
        <v>337.92</v>
      </c>
      <c r="F71" s="20">
        <v>467.73</v>
      </c>
      <c r="G71" s="20">
        <v>0</v>
      </c>
      <c r="H71" s="27">
        <v>0</v>
      </c>
      <c r="I71" s="20">
        <v>15.62</v>
      </c>
      <c r="J71" s="11" t="s">
        <v>170</v>
      </c>
      <c r="K71" s="11" t="s">
        <v>170</v>
      </c>
      <c r="L71" s="11"/>
      <c r="M71" s="18">
        <f t="shared" si="1"/>
        <v>805.65</v>
      </c>
    </row>
    <row r="72" spans="1:13">
      <c r="A72" s="25" t="s">
        <v>50</v>
      </c>
      <c r="B72" s="25">
        <v>2</v>
      </c>
      <c r="C72" s="25">
        <v>1</v>
      </c>
      <c r="D72" s="20">
        <v>913.78</v>
      </c>
      <c r="E72" s="20">
        <v>440.23</v>
      </c>
      <c r="F72" s="20">
        <v>473.55</v>
      </c>
      <c r="G72" s="20">
        <v>0</v>
      </c>
      <c r="H72" s="27">
        <v>0</v>
      </c>
      <c r="I72" s="20">
        <v>16.309999999999999</v>
      </c>
      <c r="J72" s="11" t="s">
        <v>170</v>
      </c>
      <c r="K72" s="11" t="s">
        <v>170</v>
      </c>
      <c r="L72" s="11"/>
      <c r="M72" s="18">
        <f t="shared" si="1"/>
        <v>913.78</v>
      </c>
    </row>
    <row r="73" spans="1:13">
      <c r="A73" s="25" t="s">
        <v>50</v>
      </c>
      <c r="B73" s="25">
        <v>3</v>
      </c>
      <c r="C73" s="25">
        <v>2</v>
      </c>
      <c r="D73" s="20">
        <v>885.55</v>
      </c>
      <c r="E73" s="20">
        <v>441.2</v>
      </c>
      <c r="F73" s="20">
        <v>444.35</v>
      </c>
      <c r="G73" s="20">
        <v>0</v>
      </c>
      <c r="H73" s="27">
        <v>0</v>
      </c>
      <c r="I73" s="20">
        <v>16.34</v>
      </c>
      <c r="J73" s="11" t="s">
        <v>170</v>
      </c>
      <c r="K73" s="11" t="s">
        <v>170</v>
      </c>
      <c r="L73" s="11"/>
      <c r="M73" s="18">
        <f t="shared" si="1"/>
        <v>885.55</v>
      </c>
    </row>
    <row r="74" spans="1:13">
      <c r="A74" s="25" t="s">
        <v>50</v>
      </c>
      <c r="B74" s="25">
        <v>4</v>
      </c>
      <c r="C74" s="25">
        <v>3</v>
      </c>
      <c r="D74" s="20">
        <v>805.65</v>
      </c>
      <c r="E74" s="20">
        <v>337.92</v>
      </c>
      <c r="F74" s="20">
        <v>467.73</v>
      </c>
      <c r="G74" s="20">
        <v>0</v>
      </c>
      <c r="H74" s="27">
        <v>0</v>
      </c>
      <c r="I74" s="20">
        <v>13.25</v>
      </c>
      <c r="J74" s="11" t="s">
        <v>170</v>
      </c>
      <c r="K74" s="11" t="s">
        <v>170</v>
      </c>
      <c r="L74" s="11"/>
      <c r="M74" s="18">
        <f t="shared" si="1"/>
        <v>805.65</v>
      </c>
    </row>
    <row r="75" spans="1:13">
      <c r="A75" s="25" t="s">
        <v>50</v>
      </c>
      <c r="B75" s="25">
        <v>5</v>
      </c>
      <c r="C75" s="25">
        <v>4</v>
      </c>
      <c r="D75" s="20">
        <v>864.54</v>
      </c>
      <c r="E75" s="20">
        <v>356.55</v>
      </c>
      <c r="F75" s="20">
        <v>507.99</v>
      </c>
      <c r="G75" s="20">
        <v>0</v>
      </c>
      <c r="H75" s="27">
        <v>0</v>
      </c>
      <c r="I75" s="20">
        <v>15.5</v>
      </c>
      <c r="J75" s="11" t="s">
        <v>170</v>
      </c>
      <c r="K75" s="11" t="s">
        <v>170</v>
      </c>
      <c r="L75" s="11"/>
      <c r="M75" s="18">
        <f t="shared" si="1"/>
        <v>864.54</v>
      </c>
    </row>
    <row r="76" spans="1:13">
      <c r="A76" s="25" t="s">
        <v>51</v>
      </c>
      <c r="B76" s="25">
        <v>1</v>
      </c>
      <c r="C76" s="25">
        <v>0</v>
      </c>
      <c r="D76" s="20">
        <v>983.31</v>
      </c>
      <c r="E76" s="20">
        <v>410.71</v>
      </c>
      <c r="F76" s="20">
        <v>572.6</v>
      </c>
      <c r="G76" s="20">
        <v>0</v>
      </c>
      <c r="H76" s="27">
        <v>0</v>
      </c>
      <c r="I76" s="20">
        <v>15.05</v>
      </c>
      <c r="J76" s="11" t="s">
        <v>170</v>
      </c>
      <c r="K76" s="11" t="s">
        <v>170</v>
      </c>
      <c r="L76" s="11"/>
      <c r="M76" s="18">
        <f t="shared" si="1"/>
        <v>983.31</v>
      </c>
    </row>
    <row r="77" spans="1:13">
      <c r="A77" s="25" t="s">
        <v>51</v>
      </c>
      <c r="B77" s="25">
        <v>2</v>
      </c>
      <c r="C77" s="25">
        <v>1</v>
      </c>
      <c r="D77" s="20">
        <v>976.12</v>
      </c>
      <c r="E77" s="20">
        <v>429.86</v>
      </c>
      <c r="F77" s="20">
        <v>546.26</v>
      </c>
      <c r="G77" s="20">
        <v>0</v>
      </c>
      <c r="H77" s="27">
        <v>0</v>
      </c>
      <c r="I77" s="20">
        <v>15.14</v>
      </c>
      <c r="J77" s="11" t="s">
        <v>170</v>
      </c>
      <c r="K77" s="11" t="s">
        <v>170</v>
      </c>
      <c r="L77" s="11"/>
      <c r="M77" s="18">
        <f t="shared" si="1"/>
        <v>976.12</v>
      </c>
    </row>
    <row r="78" spans="1:13">
      <c r="A78" s="25" t="s">
        <v>51</v>
      </c>
      <c r="B78" s="25">
        <v>3</v>
      </c>
      <c r="C78" s="25">
        <v>2</v>
      </c>
      <c r="D78" s="20">
        <v>1004.16</v>
      </c>
      <c r="E78" s="20">
        <v>435.42</v>
      </c>
      <c r="F78" s="20">
        <v>568.74</v>
      </c>
      <c r="G78" s="20">
        <v>0</v>
      </c>
      <c r="H78" s="27">
        <v>0</v>
      </c>
      <c r="I78" s="20">
        <v>15.14</v>
      </c>
      <c r="J78" s="11" t="s">
        <v>170</v>
      </c>
      <c r="K78" s="11" t="s">
        <v>170</v>
      </c>
      <c r="L78" s="11"/>
      <c r="M78" s="18">
        <f t="shared" si="1"/>
        <v>1004.16</v>
      </c>
    </row>
    <row r="79" spans="1:13">
      <c r="A79" s="25" t="s">
        <v>51</v>
      </c>
      <c r="B79" s="25">
        <v>4</v>
      </c>
      <c r="C79" s="25">
        <v>3</v>
      </c>
      <c r="D79" s="20">
        <v>976.54</v>
      </c>
      <c r="E79" s="20">
        <v>431.5</v>
      </c>
      <c r="F79" s="20">
        <v>545.04999999999995</v>
      </c>
      <c r="G79" s="20">
        <v>0</v>
      </c>
      <c r="H79" s="27">
        <v>0</v>
      </c>
      <c r="I79" s="20">
        <v>14.9</v>
      </c>
      <c r="J79" s="11" t="s">
        <v>170</v>
      </c>
      <c r="K79" s="11" t="s">
        <v>170</v>
      </c>
      <c r="L79" s="11"/>
      <c r="M79" s="18">
        <f t="shared" si="1"/>
        <v>976.54</v>
      </c>
    </row>
    <row r="80" spans="1:13">
      <c r="A80" s="25" t="s">
        <v>51</v>
      </c>
      <c r="B80" s="25">
        <v>5</v>
      </c>
      <c r="C80" s="25">
        <v>4</v>
      </c>
      <c r="D80" s="20">
        <v>989.64</v>
      </c>
      <c r="E80" s="20">
        <v>416.21</v>
      </c>
      <c r="F80" s="20">
        <v>573.42999999999995</v>
      </c>
      <c r="G80" s="20">
        <v>0</v>
      </c>
      <c r="H80" s="27">
        <v>0</v>
      </c>
      <c r="I80" s="20">
        <v>14.91</v>
      </c>
      <c r="J80" s="11" t="s">
        <v>170</v>
      </c>
      <c r="K80" s="11" t="s">
        <v>170</v>
      </c>
      <c r="L80" s="11"/>
      <c r="M80" s="18">
        <f t="shared" si="1"/>
        <v>989.64</v>
      </c>
    </row>
    <row r="81" spans="1:13">
      <c r="A81" s="25" t="s">
        <v>52</v>
      </c>
      <c r="B81" s="25">
        <v>1</v>
      </c>
      <c r="C81" s="25">
        <v>0</v>
      </c>
      <c r="D81" s="20">
        <v>533.58000000000004</v>
      </c>
      <c r="E81" s="20">
        <v>43.4</v>
      </c>
      <c r="F81" s="20">
        <v>490.18</v>
      </c>
      <c r="G81" s="20">
        <v>0</v>
      </c>
      <c r="H81" s="27">
        <v>0</v>
      </c>
      <c r="I81" s="20">
        <v>22.27</v>
      </c>
      <c r="J81" s="11" t="s">
        <v>170</v>
      </c>
      <c r="K81" s="11" t="s">
        <v>170</v>
      </c>
      <c r="L81" s="11"/>
      <c r="M81" s="18">
        <f t="shared" si="1"/>
        <v>533.58000000000004</v>
      </c>
    </row>
    <row r="82" spans="1:13">
      <c r="A82" s="25" t="s">
        <v>52</v>
      </c>
      <c r="B82" s="25">
        <v>2</v>
      </c>
      <c r="C82" s="25">
        <v>1</v>
      </c>
      <c r="D82" s="20">
        <v>525.30999999999995</v>
      </c>
      <c r="E82" s="20">
        <v>43.4</v>
      </c>
      <c r="F82" s="20">
        <v>481.91</v>
      </c>
      <c r="G82" s="20">
        <v>0</v>
      </c>
      <c r="H82" s="27">
        <v>0</v>
      </c>
      <c r="I82" s="20">
        <v>22.3</v>
      </c>
      <c r="J82" s="11" t="s">
        <v>170</v>
      </c>
      <c r="K82" s="11" t="s">
        <v>170</v>
      </c>
      <c r="L82" s="11"/>
      <c r="M82" s="18">
        <f t="shared" si="1"/>
        <v>525.30999999999995</v>
      </c>
    </row>
    <row r="83" spans="1:13">
      <c r="A83" s="25" t="s">
        <v>52</v>
      </c>
      <c r="B83" s="25">
        <v>3</v>
      </c>
      <c r="C83" s="25">
        <v>2</v>
      </c>
      <c r="D83" s="20">
        <v>525.30999999999995</v>
      </c>
      <c r="E83" s="20">
        <v>43.4</v>
      </c>
      <c r="F83" s="20">
        <v>481.91</v>
      </c>
      <c r="G83" s="20">
        <v>0</v>
      </c>
      <c r="H83" s="27">
        <v>0</v>
      </c>
      <c r="I83" s="20">
        <v>20.440000000000001</v>
      </c>
      <c r="J83" s="11" t="s">
        <v>170</v>
      </c>
      <c r="K83" s="11" t="s">
        <v>170</v>
      </c>
      <c r="L83" s="11"/>
      <c r="M83" s="18">
        <f t="shared" si="1"/>
        <v>525.30999999999995</v>
      </c>
    </row>
    <row r="84" spans="1:13">
      <c r="A84" s="25" t="s">
        <v>52</v>
      </c>
      <c r="B84" s="25">
        <v>4</v>
      </c>
      <c r="C84" s="25">
        <v>3</v>
      </c>
      <c r="D84" s="20">
        <v>532.51</v>
      </c>
      <c r="E84" s="20">
        <v>43.4</v>
      </c>
      <c r="F84" s="20">
        <v>489.11</v>
      </c>
      <c r="G84" s="20">
        <v>0</v>
      </c>
      <c r="H84" s="27">
        <v>0</v>
      </c>
      <c r="I84" s="20">
        <v>20.58</v>
      </c>
      <c r="J84" s="11" t="s">
        <v>170</v>
      </c>
      <c r="K84" s="11" t="s">
        <v>170</v>
      </c>
      <c r="L84" s="11"/>
      <c r="M84" s="18">
        <f t="shared" si="1"/>
        <v>532.51</v>
      </c>
    </row>
    <row r="85" spans="1:13">
      <c r="A85" s="25" t="s">
        <v>52</v>
      </c>
      <c r="B85" s="25">
        <v>5</v>
      </c>
      <c r="C85" s="25">
        <v>4</v>
      </c>
      <c r="D85" s="20">
        <v>525.30999999999995</v>
      </c>
      <c r="E85" s="20">
        <v>43.4</v>
      </c>
      <c r="F85" s="20">
        <v>481.91</v>
      </c>
      <c r="G85" s="20">
        <v>0</v>
      </c>
      <c r="H85" s="27">
        <v>0</v>
      </c>
      <c r="I85" s="20">
        <v>20.53</v>
      </c>
      <c r="J85" s="11" t="s">
        <v>170</v>
      </c>
      <c r="K85" s="11" t="s">
        <v>170</v>
      </c>
      <c r="L85" s="11"/>
      <c r="M85" s="18">
        <f t="shared" si="1"/>
        <v>525.30999999999995</v>
      </c>
    </row>
    <row r="86" spans="1:13">
      <c r="A86" s="25" t="s">
        <v>53</v>
      </c>
      <c r="B86" s="25">
        <v>1</v>
      </c>
      <c r="C86" s="25">
        <v>0</v>
      </c>
      <c r="D86" s="20">
        <v>544.9</v>
      </c>
      <c r="E86" s="20">
        <v>48.46</v>
      </c>
      <c r="F86" s="20">
        <v>496.45</v>
      </c>
      <c r="G86" s="20">
        <v>0</v>
      </c>
      <c r="H86" s="27">
        <v>0</v>
      </c>
      <c r="I86" s="20">
        <v>21.4</v>
      </c>
      <c r="J86" s="11" t="s">
        <v>170</v>
      </c>
      <c r="K86" s="11" t="s">
        <v>170</v>
      </c>
      <c r="L86" s="11"/>
      <c r="M86" s="18">
        <f t="shared" si="1"/>
        <v>544.9</v>
      </c>
    </row>
    <row r="87" spans="1:13">
      <c r="A87" s="25" t="s">
        <v>53</v>
      </c>
      <c r="B87" s="25">
        <v>2</v>
      </c>
      <c r="C87" s="25">
        <v>1</v>
      </c>
      <c r="D87" s="20">
        <v>539.41</v>
      </c>
      <c r="E87" s="20">
        <v>43.4</v>
      </c>
      <c r="F87" s="20">
        <v>496.01</v>
      </c>
      <c r="G87" s="20">
        <v>0</v>
      </c>
      <c r="H87" s="27">
        <v>0</v>
      </c>
      <c r="I87" s="20">
        <v>21.88</v>
      </c>
      <c r="J87" s="11" t="s">
        <v>170</v>
      </c>
      <c r="K87" s="11" t="s">
        <v>170</v>
      </c>
      <c r="L87" s="11"/>
      <c r="M87" s="18">
        <f t="shared" si="1"/>
        <v>539.41</v>
      </c>
    </row>
    <row r="88" spans="1:13">
      <c r="A88" s="25" t="s">
        <v>53</v>
      </c>
      <c r="B88" s="25">
        <v>3</v>
      </c>
      <c r="C88" s="25">
        <v>2</v>
      </c>
      <c r="D88" s="20">
        <v>558.57000000000005</v>
      </c>
      <c r="E88" s="20">
        <v>48.46</v>
      </c>
      <c r="F88" s="20">
        <v>510.11</v>
      </c>
      <c r="G88" s="20">
        <v>0</v>
      </c>
      <c r="H88" s="27">
        <v>0</v>
      </c>
      <c r="I88" s="20">
        <v>20.91</v>
      </c>
      <c r="J88" s="11" t="s">
        <v>170</v>
      </c>
      <c r="K88" s="11" t="s">
        <v>170</v>
      </c>
      <c r="L88" s="11"/>
      <c r="M88" s="18">
        <f t="shared" si="1"/>
        <v>558.57000000000005</v>
      </c>
    </row>
    <row r="89" spans="1:13">
      <c r="A89" s="25" t="s">
        <v>53</v>
      </c>
      <c r="B89" s="25">
        <v>4</v>
      </c>
      <c r="C89" s="25">
        <v>3</v>
      </c>
      <c r="D89" s="20">
        <v>539.41</v>
      </c>
      <c r="E89" s="20">
        <v>43.4</v>
      </c>
      <c r="F89" s="20">
        <v>496.01</v>
      </c>
      <c r="G89" s="20">
        <v>0</v>
      </c>
      <c r="H89" s="27">
        <v>0</v>
      </c>
      <c r="I89" s="20">
        <v>20.36</v>
      </c>
      <c r="J89" s="11" t="s">
        <v>170</v>
      </c>
      <c r="K89" s="11" t="s">
        <v>170</v>
      </c>
      <c r="L89" s="11"/>
      <c r="M89" s="18">
        <f t="shared" si="1"/>
        <v>539.41</v>
      </c>
    </row>
    <row r="90" spans="1:13">
      <c r="A90" s="25" t="s">
        <v>53</v>
      </c>
      <c r="B90" s="25">
        <v>5</v>
      </c>
      <c r="C90" s="25">
        <v>4</v>
      </c>
      <c r="D90" s="20">
        <v>539.41</v>
      </c>
      <c r="E90" s="20">
        <v>43.4</v>
      </c>
      <c r="F90" s="20">
        <v>496.01</v>
      </c>
      <c r="G90" s="20">
        <v>0</v>
      </c>
      <c r="H90" s="27">
        <v>0</v>
      </c>
      <c r="I90" s="20">
        <v>21.83</v>
      </c>
      <c r="J90" s="11" t="s">
        <v>170</v>
      </c>
      <c r="K90" s="11" t="s">
        <v>170</v>
      </c>
      <c r="L90" s="11"/>
      <c r="M90" s="18">
        <f t="shared" si="1"/>
        <v>539.41</v>
      </c>
    </row>
    <row r="91" spans="1:13">
      <c r="A91" s="25" t="s">
        <v>54</v>
      </c>
      <c r="B91" s="25">
        <v>1</v>
      </c>
      <c r="C91" s="25">
        <v>0</v>
      </c>
      <c r="D91" s="20">
        <v>707.71</v>
      </c>
      <c r="E91" s="20">
        <v>200.65</v>
      </c>
      <c r="F91" s="20">
        <v>507.06</v>
      </c>
      <c r="G91" s="20">
        <v>0</v>
      </c>
      <c r="H91" s="27">
        <v>0</v>
      </c>
      <c r="I91" s="20">
        <v>14.59</v>
      </c>
      <c r="J91" s="11" t="s">
        <v>170</v>
      </c>
      <c r="K91" s="11" t="s">
        <v>170</v>
      </c>
      <c r="L91" s="11"/>
      <c r="M91" s="18">
        <f t="shared" si="1"/>
        <v>707.71</v>
      </c>
    </row>
    <row r="92" spans="1:13">
      <c r="A92" s="25" t="s">
        <v>54</v>
      </c>
      <c r="B92" s="25">
        <v>2</v>
      </c>
      <c r="C92" s="25">
        <v>1</v>
      </c>
      <c r="D92" s="20">
        <v>697.15</v>
      </c>
      <c r="E92" s="20">
        <v>199.3</v>
      </c>
      <c r="F92" s="20">
        <v>497.85</v>
      </c>
      <c r="G92" s="20">
        <v>0</v>
      </c>
      <c r="H92" s="27">
        <v>0</v>
      </c>
      <c r="I92" s="20">
        <v>15.61</v>
      </c>
      <c r="J92" s="11" t="s">
        <v>170</v>
      </c>
      <c r="K92" s="11" t="s">
        <v>170</v>
      </c>
      <c r="L92" s="11"/>
      <c r="M92" s="18">
        <f t="shared" si="1"/>
        <v>697.15</v>
      </c>
    </row>
    <row r="93" spans="1:13">
      <c r="A93" s="25" t="s">
        <v>54</v>
      </c>
      <c r="B93" s="25">
        <v>3</v>
      </c>
      <c r="C93" s="25">
        <v>2</v>
      </c>
      <c r="D93" s="20">
        <v>693.73</v>
      </c>
      <c r="E93" s="20">
        <v>194.24</v>
      </c>
      <c r="F93" s="20">
        <v>499.49</v>
      </c>
      <c r="G93" s="20">
        <v>0</v>
      </c>
      <c r="H93" s="27">
        <v>0</v>
      </c>
      <c r="I93" s="20">
        <v>13.85</v>
      </c>
      <c r="J93" s="11" t="s">
        <v>170</v>
      </c>
      <c r="K93" s="11" t="s">
        <v>170</v>
      </c>
      <c r="L93" s="11"/>
      <c r="M93" s="18">
        <f t="shared" si="1"/>
        <v>693.73</v>
      </c>
    </row>
    <row r="94" spans="1:13">
      <c r="A94" s="25" t="s">
        <v>54</v>
      </c>
      <c r="B94" s="25">
        <v>4</v>
      </c>
      <c r="C94" s="25">
        <v>3</v>
      </c>
      <c r="D94" s="20">
        <v>711.13</v>
      </c>
      <c r="E94" s="20">
        <v>205.71</v>
      </c>
      <c r="F94" s="20">
        <v>505.42</v>
      </c>
      <c r="G94" s="20">
        <v>0</v>
      </c>
      <c r="H94" s="27">
        <v>0</v>
      </c>
      <c r="I94" s="20">
        <v>15.39</v>
      </c>
      <c r="J94" s="11" t="s">
        <v>170</v>
      </c>
      <c r="K94" s="11" t="s">
        <v>170</v>
      </c>
      <c r="L94" s="11"/>
      <c r="M94" s="18">
        <f t="shared" si="1"/>
        <v>711.13</v>
      </c>
    </row>
    <row r="95" spans="1:13">
      <c r="A95" s="25" t="s">
        <v>54</v>
      </c>
      <c r="B95" s="25">
        <v>5</v>
      </c>
      <c r="C95" s="25">
        <v>4</v>
      </c>
      <c r="D95" s="20">
        <v>693.73</v>
      </c>
      <c r="E95" s="20">
        <v>194.24</v>
      </c>
      <c r="F95" s="20">
        <v>499.49</v>
      </c>
      <c r="G95" s="20">
        <v>0</v>
      </c>
      <c r="H95" s="27">
        <v>0</v>
      </c>
      <c r="I95" s="20">
        <v>15.82</v>
      </c>
      <c r="J95" s="11" t="s">
        <v>170</v>
      </c>
      <c r="K95" s="11" t="s">
        <v>170</v>
      </c>
      <c r="L95" s="11"/>
      <c r="M95" s="18">
        <f t="shared" si="1"/>
        <v>693.73</v>
      </c>
    </row>
    <row r="96" spans="1:13">
      <c r="A96" s="25" t="s">
        <v>55</v>
      </c>
      <c r="B96" s="25">
        <v>1</v>
      </c>
      <c r="C96" s="25">
        <v>0</v>
      </c>
      <c r="D96" s="20">
        <v>1119.18</v>
      </c>
      <c r="E96" s="20">
        <v>539.62</v>
      </c>
      <c r="F96" s="20">
        <v>579.55999999999995</v>
      </c>
      <c r="G96" s="20">
        <v>0</v>
      </c>
      <c r="H96" s="27">
        <v>0</v>
      </c>
      <c r="I96" s="20">
        <v>15.75</v>
      </c>
      <c r="J96" s="11" t="s">
        <v>170</v>
      </c>
      <c r="K96" s="11" t="s">
        <v>170</v>
      </c>
      <c r="L96" s="11"/>
      <c r="M96" s="18">
        <f t="shared" si="1"/>
        <v>1119.18</v>
      </c>
    </row>
    <row r="97" spans="1:13">
      <c r="A97" s="25" t="s">
        <v>55</v>
      </c>
      <c r="B97" s="25">
        <v>2</v>
      </c>
      <c r="C97" s="25">
        <v>1</v>
      </c>
      <c r="D97" s="20">
        <v>1068.82</v>
      </c>
      <c r="E97" s="20">
        <v>493.92</v>
      </c>
      <c r="F97" s="20">
        <v>574.9</v>
      </c>
      <c r="G97" s="20">
        <v>0</v>
      </c>
      <c r="H97" s="27">
        <v>0</v>
      </c>
      <c r="I97" s="20">
        <v>16.21</v>
      </c>
      <c r="J97" s="11" t="s">
        <v>170</v>
      </c>
      <c r="K97" s="11" t="s">
        <v>170</v>
      </c>
      <c r="L97" s="11"/>
      <c r="M97" s="18">
        <f t="shared" si="1"/>
        <v>1068.82</v>
      </c>
    </row>
    <row r="98" spans="1:13">
      <c r="A98" s="25" t="s">
        <v>55</v>
      </c>
      <c r="B98" s="25">
        <v>3</v>
      </c>
      <c r="C98" s="25">
        <v>2</v>
      </c>
      <c r="D98" s="20">
        <v>1140.99</v>
      </c>
      <c r="E98" s="20">
        <v>608.27</v>
      </c>
      <c r="F98" s="20">
        <v>532.72</v>
      </c>
      <c r="G98" s="20">
        <v>0</v>
      </c>
      <c r="H98" s="27">
        <v>0</v>
      </c>
      <c r="I98" s="20">
        <v>15.85</v>
      </c>
      <c r="J98" s="11" t="s">
        <v>170</v>
      </c>
      <c r="K98" s="11" t="s">
        <v>170</v>
      </c>
      <c r="L98" s="11"/>
      <c r="M98" s="18">
        <f t="shared" si="1"/>
        <v>1140.99</v>
      </c>
    </row>
    <row r="99" spans="1:13">
      <c r="A99" s="25" t="s">
        <v>55</v>
      </c>
      <c r="B99" s="25">
        <v>4</v>
      </c>
      <c r="C99" s="25">
        <v>3</v>
      </c>
      <c r="D99" s="20">
        <v>1171.9100000000001</v>
      </c>
      <c r="E99" s="20">
        <v>608.27</v>
      </c>
      <c r="F99" s="20">
        <v>563.64</v>
      </c>
      <c r="G99" s="20">
        <v>0</v>
      </c>
      <c r="H99" s="27">
        <v>0</v>
      </c>
      <c r="I99" s="20">
        <v>15.46</v>
      </c>
      <c r="J99" s="11" t="s">
        <v>170</v>
      </c>
      <c r="K99" s="11" t="s">
        <v>170</v>
      </c>
      <c r="L99" s="11"/>
      <c r="M99" s="18">
        <f t="shared" si="1"/>
        <v>1171.9100000000001</v>
      </c>
    </row>
    <row r="100" spans="1:13">
      <c r="A100" s="25" t="s">
        <v>55</v>
      </c>
      <c r="B100" s="25">
        <v>5</v>
      </c>
      <c r="C100" s="25">
        <v>4</v>
      </c>
      <c r="D100" s="20">
        <v>1076.82</v>
      </c>
      <c r="E100" s="20">
        <v>509.13</v>
      </c>
      <c r="F100" s="20">
        <v>567.69000000000005</v>
      </c>
      <c r="G100" s="20">
        <v>0</v>
      </c>
      <c r="H100" s="27">
        <v>0</v>
      </c>
      <c r="I100" s="20">
        <v>15.6</v>
      </c>
      <c r="J100" s="11" t="s">
        <v>170</v>
      </c>
      <c r="K100" s="11" t="s">
        <v>170</v>
      </c>
      <c r="L100" s="11"/>
      <c r="M100" s="18">
        <f t="shared" si="1"/>
        <v>1076.82</v>
      </c>
    </row>
    <row r="101" spans="1:13">
      <c r="A101" s="25" t="s">
        <v>56</v>
      </c>
      <c r="B101" s="25">
        <v>1</v>
      </c>
      <c r="C101" s="25">
        <v>0</v>
      </c>
      <c r="D101" s="20">
        <v>1142.7</v>
      </c>
      <c r="E101" s="20">
        <v>600.57000000000005</v>
      </c>
      <c r="F101" s="20">
        <v>542.14</v>
      </c>
      <c r="G101" s="20">
        <v>0</v>
      </c>
      <c r="H101" s="27">
        <v>0</v>
      </c>
      <c r="I101" s="20">
        <v>14.9</v>
      </c>
      <c r="J101" s="11" t="s">
        <v>170</v>
      </c>
      <c r="K101" s="11" t="s">
        <v>170</v>
      </c>
      <c r="L101" s="11"/>
      <c r="M101" s="18">
        <f t="shared" si="1"/>
        <v>1142.7</v>
      </c>
    </row>
    <row r="102" spans="1:13">
      <c r="A102" s="25" t="s">
        <v>56</v>
      </c>
      <c r="B102" s="25">
        <v>2</v>
      </c>
      <c r="C102" s="25">
        <v>1</v>
      </c>
      <c r="D102" s="20">
        <v>1142.7</v>
      </c>
      <c r="E102" s="20">
        <v>600.57000000000005</v>
      </c>
      <c r="F102" s="20">
        <v>542.14</v>
      </c>
      <c r="G102" s="20">
        <v>0</v>
      </c>
      <c r="H102" s="27">
        <v>0</v>
      </c>
      <c r="I102" s="20">
        <v>15.37</v>
      </c>
      <c r="J102" s="11" t="s">
        <v>170</v>
      </c>
      <c r="K102" s="11" t="s">
        <v>170</v>
      </c>
      <c r="L102" s="11"/>
      <c r="M102" s="18">
        <f t="shared" si="1"/>
        <v>1142.7</v>
      </c>
    </row>
    <row r="103" spans="1:13">
      <c r="A103" s="25" t="s">
        <v>56</v>
      </c>
      <c r="B103" s="25">
        <v>3</v>
      </c>
      <c r="C103" s="25">
        <v>2</v>
      </c>
      <c r="D103" s="20">
        <v>1173.6199999999999</v>
      </c>
      <c r="E103" s="20">
        <v>600.57000000000005</v>
      </c>
      <c r="F103" s="20">
        <v>573.04999999999995</v>
      </c>
      <c r="G103" s="20">
        <v>0</v>
      </c>
      <c r="H103" s="27">
        <v>0</v>
      </c>
      <c r="I103" s="20">
        <v>15.03</v>
      </c>
      <c r="J103" s="11" t="s">
        <v>170</v>
      </c>
      <c r="K103" s="11" t="s">
        <v>170</v>
      </c>
      <c r="L103" s="11"/>
      <c r="M103" s="18">
        <f t="shared" si="1"/>
        <v>1173.6199999999999</v>
      </c>
    </row>
    <row r="104" spans="1:13">
      <c r="A104" s="25" t="s">
        <v>56</v>
      </c>
      <c r="B104" s="25">
        <v>4</v>
      </c>
      <c r="C104" s="25">
        <v>3</v>
      </c>
      <c r="D104" s="20">
        <v>1317.8</v>
      </c>
      <c r="E104" s="20">
        <v>724.78</v>
      </c>
      <c r="F104" s="20">
        <v>593.02</v>
      </c>
      <c r="G104" s="20">
        <v>0</v>
      </c>
      <c r="H104" s="27">
        <v>0</v>
      </c>
      <c r="I104" s="20">
        <v>15.29</v>
      </c>
      <c r="J104" s="11" t="s">
        <v>170</v>
      </c>
      <c r="K104" s="11" t="s">
        <v>170</v>
      </c>
      <c r="L104" s="11"/>
      <c r="M104" s="18">
        <f t="shared" si="1"/>
        <v>1317.8</v>
      </c>
    </row>
    <row r="105" spans="1:13">
      <c r="A105" s="25" t="s">
        <v>56</v>
      </c>
      <c r="B105" s="25">
        <v>5</v>
      </c>
      <c r="C105" s="25">
        <v>4</v>
      </c>
      <c r="D105" s="20">
        <v>1142.7</v>
      </c>
      <c r="E105" s="20">
        <v>600.57000000000005</v>
      </c>
      <c r="F105" s="20">
        <v>542.14</v>
      </c>
      <c r="G105" s="20">
        <v>0</v>
      </c>
      <c r="H105" s="27">
        <v>0</v>
      </c>
      <c r="I105" s="20">
        <v>15.63</v>
      </c>
      <c r="J105" s="11" t="s">
        <v>170</v>
      </c>
      <c r="K105" s="11" t="s">
        <v>170</v>
      </c>
      <c r="L105" s="11"/>
      <c r="M105" s="18">
        <f t="shared" si="1"/>
        <v>1142.7</v>
      </c>
    </row>
    <row r="106" spans="1:13">
      <c r="A106" s="25" t="s">
        <v>57</v>
      </c>
      <c r="B106" s="25">
        <v>1</v>
      </c>
      <c r="C106" s="25">
        <v>0</v>
      </c>
      <c r="D106" s="20">
        <v>502.59</v>
      </c>
      <c r="E106" s="20">
        <v>23.53</v>
      </c>
      <c r="F106" s="20">
        <v>479.06</v>
      </c>
      <c r="G106" s="20">
        <v>0</v>
      </c>
      <c r="H106" s="27">
        <v>0</v>
      </c>
      <c r="I106" s="20">
        <v>22.81</v>
      </c>
      <c r="J106" s="11" t="s">
        <v>170</v>
      </c>
      <c r="K106" s="11" t="s">
        <v>170</v>
      </c>
      <c r="L106" s="11"/>
      <c r="M106" s="18">
        <f t="shared" si="1"/>
        <v>502.59</v>
      </c>
    </row>
    <row r="107" spans="1:13">
      <c r="A107" s="25" t="s">
        <v>57</v>
      </c>
      <c r="B107" s="25">
        <v>2</v>
      </c>
      <c r="C107" s="25">
        <v>1</v>
      </c>
      <c r="D107" s="20">
        <v>505.32</v>
      </c>
      <c r="E107" s="20">
        <v>23.53</v>
      </c>
      <c r="F107" s="20">
        <v>481.8</v>
      </c>
      <c r="G107" s="20">
        <v>0</v>
      </c>
      <c r="H107" s="27">
        <v>0</v>
      </c>
      <c r="I107" s="20">
        <v>22.57</v>
      </c>
      <c r="J107" s="11" t="s">
        <v>170</v>
      </c>
      <c r="K107" s="11" t="s">
        <v>170</v>
      </c>
      <c r="L107" s="11"/>
      <c r="M107" s="18">
        <f t="shared" si="1"/>
        <v>505.32</v>
      </c>
    </row>
    <row r="108" spans="1:13">
      <c r="A108" s="25" t="s">
        <v>57</v>
      </c>
      <c r="B108" s="25">
        <v>3</v>
      </c>
      <c r="C108" s="25">
        <v>2</v>
      </c>
      <c r="D108" s="20">
        <v>508.5</v>
      </c>
      <c r="E108" s="20">
        <v>23.53</v>
      </c>
      <c r="F108" s="20">
        <v>484.97</v>
      </c>
      <c r="G108" s="20">
        <v>0</v>
      </c>
      <c r="H108" s="27">
        <v>0</v>
      </c>
      <c r="I108" s="20">
        <v>20.97</v>
      </c>
      <c r="J108" s="11" t="s">
        <v>170</v>
      </c>
      <c r="K108" s="11" t="s">
        <v>170</v>
      </c>
      <c r="L108" s="11"/>
      <c r="M108" s="18">
        <f t="shared" si="1"/>
        <v>508.5</v>
      </c>
    </row>
    <row r="109" spans="1:13">
      <c r="A109" s="25" t="s">
        <v>57</v>
      </c>
      <c r="B109" s="25">
        <v>4</v>
      </c>
      <c r="C109" s="25">
        <v>3</v>
      </c>
      <c r="D109" s="20">
        <v>496.32</v>
      </c>
      <c r="E109" s="20">
        <v>23.53</v>
      </c>
      <c r="F109" s="20">
        <v>472.8</v>
      </c>
      <c r="G109" s="20">
        <v>0</v>
      </c>
      <c r="H109" s="27">
        <v>0</v>
      </c>
      <c r="I109" s="20">
        <v>21.17</v>
      </c>
      <c r="J109" s="11" t="s">
        <v>170</v>
      </c>
      <c r="K109" s="11" t="s">
        <v>170</v>
      </c>
      <c r="L109" s="11"/>
      <c r="M109" s="18">
        <f t="shared" si="1"/>
        <v>496.32</v>
      </c>
    </row>
    <row r="110" spans="1:13">
      <c r="A110" s="25" t="s">
        <v>57</v>
      </c>
      <c r="B110" s="25">
        <v>5</v>
      </c>
      <c r="C110" s="25">
        <v>4</v>
      </c>
      <c r="D110" s="20">
        <v>484.04</v>
      </c>
      <c r="E110" s="20">
        <v>23.53</v>
      </c>
      <c r="F110" s="20">
        <v>460.52</v>
      </c>
      <c r="G110" s="20">
        <v>0</v>
      </c>
      <c r="H110" s="27">
        <v>0</v>
      </c>
      <c r="I110" s="20">
        <v>19.87</v>
      </c>
      <c r="J110" s="11" t="s">
        <v>170</v>
      </c>
      <c r="K110" s="11" t="s">
        <v>170</v>
      </c>
      <c r="L110" s="11"/>
      <c r="M110" s="18">
        <f t="shared" si="1"/>
        <v>484.04</v>
      </c>
    </row>
    <row r="111" spans="1:13">
      <c r="A111" s="25" t="s">
        <v>58</v>
      </c>
      <c r="B111" s="25">
        <v>1</v>
      </c>
      <c r="C111" s="25">
        <v>0</v>
      </c>
      <c r="D111" s="20">
        <v>503.19</v>
      </c>
      <c r="E111" s="20">
        <v>26.36</v>
      </c>
      <c r="F111" s="20">
        <v>476.83</v>
      </c>
      <c r="G111" s="20">
        <v>0</v>
      </c>
      <c r="H111" s="27">
        <v>0</v>
      </c>
      <c r="I111" s="20">
        <v>20.95</v>
      </c>
      <c r="J111" s="11" t="s">
        <v>170</v>
      </c>
      <c r="K111" s="11" t="s">
        <v>170</v>
      </c>
      <c r="L111" s="11"/>
      <c r="M111" s="18">
        <f t="shared" si="1"/>
        <v>503.19</v>
      </c>
    </row>
    <row r="112" spans="1:13">
      <c r="A112" s="25" t="s">
        <v>58</v>
      </c>
      <c r="B112" s="25">
        <v>2</v>
      </c>
      <c r="C112" s="25">
        <v>1</v>
      </c>
      <c r="D112" s="20">
        <v>532.29</v>
      </c>
      <c r="E112" s="20">
        <v>38.619999999999997</v>
      </c>
      <c r="F112" s="20">
        <v>493.67</v>
      </c>
      <c r="G112" s="20">
        <v>0</v>
      </c>
      <c r="H112" s="27">
        <v>0</v>
      </c>
      <c r="I112" s="20">
        <v>21.03</v>
      </c>
      <c r="J112" s="11" t="s">
        <v>170</v>
      </c>
      <c r="K112" s="11" t="s">
        <v>170</v>
      </c>
      <c r="L112" s="11"/>
      <c r="M112" s="18">
        <f t="shared" si="1"/>
        <v>532.29</v>
      </c>
    </row>
    <row r="113" spans="1:13">
      <c r="A113" s="25" t="s">
        <v>58</v>
      </c>
      <c r="B113" s="25">
        <v>3</v>
      </c>
      <c r="C113" s="25">
        <v>2</v>
      </c>
      <c r="D113" s="20">
        <v>527.57000000000005</v>
      </c>
      <c r="E113" s="20">
        <v>51.71</v>
      </c>
      <c r="F113" s="20">
        <v>475.85</v>
      </c>
      <c r="G113" s="20">
        <v>0</v>
      </c>
      <c r="H113" s="27">
        <v>0</v>
      </c>
      <c r="I113" s="20">
        <v>21.23</v>
      </c>
      <c r="J113" s="11" t="s">
        <v>170</v>
      </c>
      <c r="K113" s="11" t="s">
        <v>170</v>
      </c>
      <c r="L113" s="11"/>
      <c r="M113" s="18">
        <f t="shared" si="1"/>
        <v>527.57000000000005</v>
      </c>
    </row>
    <row r="114" spans="1:13">
      <c r="A114" s="25" t="s">
        <v>58</v>
      </c>
      <c r="B114" s="25">
        <v>4</v>
      </c>
      <c r="C114" s="25">
        <v>3</v>
      </c>
      <c r="D114" s="20">
        <v>532.29</v>
      </c>
      <c r="E114" s="20">
        <v>38.619999999999997</v>
      </c>
      <c r="F114" s="20">
        <v>493.67</v>
      </c>
      <c r="G114" s="20">
        <v>0</v>
      </c>
      <c r="H114" s="27">
        <v>0</v>
      </c>
      <c r="I114" s="20">
        <v>20.93</v>
      </c>
      <c r="J114" s="11" t="s">
        <v>170</v>
      </c>
      <c r="K114" s="11" t="s">
        <v>170</v>
      </c>
      <c r="L114" s="11"/>
      <c r="M114" s="18">
        <f t="shared" si="1"/>
        <v>532.29</v>
      </c>
    </row>
    <row r="115" spans="1:13">
      <c r="A115" s="25" t="s">
        <v>58</v>
      </c>
      <c r="B115" s="25">
        <v>5</v>
      </c>
      <c r="C115" s="25">
        <v>4</v>
      </c>
      <c r="D115" s="20">
        <v>532.29</v>
      </c>
      <c r="E115" s="20">
        <v>38.619999999999997</v>
      </c>
      <c r="F115" s="20">
        <v>493.67</v>
      </c>
      <c r="G115" s="20">
        <v>0</v>
      </c>
      <c r="H115" s="27">
        <v>0</v>
      </c>
      <c r="I115" s="20">
        <v>21.68</v>
      </c>
      <c r="J115" s="11" t="s">
        <v>170</v>
      </c>
      <c r="K115" s="11" t="s">
        <v>170</v>
      </c>
      <c r="L115" s="11"/>
      <c r="M115" s="18">
        <f t="shared" si="1"/>
        <v>532.29</v>
      </c>
    </row>
    <row r="116" spans="1:13">
      <c r="A116" s="25" t="s">
        <v>59</v>
      </c>
      <c r="B116" s="25">
        <v>1</v>
      </c>
      <c r="C116" s="25">
        <v>0</v>
      </c>
      <c r="D116" s="20">
        <v>900.22</v>
      </c>
      <c r="E116" s="20">
        <v>360.3</v>
      </c>
      <c r="F116" s="20">
        <v>539.91999999999996</v>
      </c>
      <c r="G116" s="20">
        <v>0</v>
      </c>
      <c r="H116" s="27">
        <v>0</v>
      </c>
      <c r="I116" s="20">
        <v>15.29</v>
      </c>
      <c r="J116" s="11" t="s">
        <v>170</v>
      </c>
      <c r="K116" s="11" t="s">
        <v>170</v>
      </c>
      <c r="L116" s="11"/>
      <c r="M116" s="18">
        <f t="shared" si="1"/>
        <v>900.22</v>
      </c>
    </row>
    <row r="117" spans="1:13">
      <c r="A117" s="25" t="s">
        <v>59</v>
      </c>
      <c r="B117" s="25">
        <v>2</v>
      </c>
      <c r="C117" s="25">
        <v>1</v>
      </c>
      <c r="D117" s="20">
        <v>831.84</v>
      </c>
      <c r="E117" s="20">
        <v>278.02</v>
      </c>
      <c r="F117" s="20">
        <v>553.82000000000005</v>
      </c>
      <c r="G117" s="20">
        <v>0</v>
      </c>
      <c r="H117" s="27">
        <v>0</v>
      </c>
      <c r="I117" s="20">
        <v>16.350000000000001</v>
      </c>
      <c r="J117" s="11" t="s">
        <v>170</v>
      </c>
      <c r="K117" s="11" t="s">
        <v>170</v>
      </c>
      <c r="L117" s="11"/>
      <c r="M117" s="18">
        <f t="shared" si="1"/>
        <v>831.84</v>
      </c>
    </row>
    <row r="118" spans="1:13">
      <c r="A118" s="25" t="s">
        <v>59</v>
      </c>
      <c r="B118" s="25">
        <v>3</v>
      </c>
      <c r="C118" s="25">
        <v>2</v>
      </c>
      <c r="D118" s="20">
        <v>807.3</v>
      </c>
      <c r="E118" s="20">
        <v>278.42</v>
      </c>
      <c r="F118" s="20">
        <v>528.88</v>
      </c>
      <c r="G118" s="20">
        <v>0</v>
      </c>
      <c r="H118" s="27">
        <v>0</v>
      </c>
      <c r="I118" s="20">
        <v>16.010000000000002</v>
      </c>
      <c r="J118" s="11" t="s">
        <v>170</v>
      </c>
      <c r="K118" s="11" t="s">
        <v>170</v>
      </c>
      <c r="L118" s="11"/>
      <c r="M118" s="18">
        <f t="shared" si="1"/>
        <v>807.3</v>
      </c>
    </row>
    <row r="119" spans="1:13">
      <c r="A119" s="25" t="s">
        <v>59</v>
      </c>
      <c r="B119" s="25">
        <v>4</v>
      </c>
      <c r="C119" s="25">
        <v>3</v>
      </c>
      <c r="D119" s="20">
        <v>812.24</v>
      </c>
      <c r="E119" s="20">
        <v>278.42</v>
      </c>
      <c r="F119" s="20">
        <v>533.82000000000005</v>
      </c>
      <c r="G119" s="20">
        <v>0</v>
      </c>
      <c r="H119" s="27">
        <v>0</v>
      </c>
      <c r="I119" s="20">
        <v>16.14</v>
      </c>
      <c r="J119" s="11" t="s">
        <v>170</v>
      </c>
      <c r="K119" s="11" t="s">
        <v>170</v>
      </c>
      <c r="L119" s="11"/>
      <c r="M119" s="18">
        <f t="shared" si="1"/>
        <v>812.24</v>
      </c>
    </row>
    <row r="120" spans="1:13">
      <c r="A120" s="25" t="s">
        <v>59</v>
      </c>
      <c r="B120" s="25">
        <v>5</v>
      </c>
      <c r="C120" s="25">
        <v>4</v>
      </c>
      <c r="D120" s="20">
        <v>855.21</v>
      </c>
      <c r="E120" s="20">
        <v>327.76</v>
      </c>
      <c r="F120" s="20">
        <v>527.44000000000005</v>
      </c>
      <c r="G120" s="20">
        <v>0</v>
      </c>
      <c r="H120" s="27">
        <v>0</v>
      </c>
      <c r="I120" s="20">
        <v>15.66</v>
      </c>
      <c r="J120" s="11" t="s">
        <v>170</v>
      </c>
      <c r="K120" s="11" t="s">
        <v>170</v>
      </c>
      <c r="L120" s="11"/>
      <c r="M120" s="18">
        <f t="shared" si="1"/>
        <v>855.21</v>
      </c>
    </row>
    <row r="121" spans="1:13">
      <c r="A121" s="25" t="s">
        <v>60</v>
      </c>
      <c r="B121" s="25">
        <v>1</v>
      </c>
      <c r="C121" s="25">
        <v>0</v>
      </c>
      <c r="D121" s="20">
        <v>990.77</v>
      </c>
      <c r="E121" s="20">
        <v>463.71</v>
      </c>
      <c r="F121" s="20">
        <v>527.05999999999995</v>
      </c>
      <c r="G121" s="20">
        <v>0</v>
      </c>
      <c r="H121" s="27">
        <v>0</v>
      </c>
      <c r="I121" s="20">
        <v>15.78</v>
      </c>
      <c r="J121" s="11" t="s">
        <v>170</v>
      </c>
      <c r="K121" s="11" t="s">
        <v>170</v>
      </c>
      <c r="L121" s="11"/>
      <c r="M121" s="18">
        <f t="shared" si="1"/>
        <v>990.77</v>
      </c>
    </row>
    <row r="122" spans="1:13">
      <c r="A122" s="25" t="s">
        <v>60</v>
      </c>
      <c r="B122" s="25">
        <v>2</v>
      </c>
      <c r="C122" s="25">
        <v>1</v>
      </c>
      <c r="D122" s="20">
        <v>1039.21</v>
      </c>
      <c r="E122" s="20">
        <v>452.59</v>
      </c>
      <c r="F122" s="20">
        <v>586.62</v>
      </c>
      <c r="G122" s="20">
        <v>0</v>
      </c>
      <c r="H122" s="27">
        <v>0</v>
      </c>
      <c r="I122" s="20">
        <v>15.97</v>
      </c>
      <c r="J122" s="11" t="s">
        <v>170</v>
      </c>
      <c r="K122" s="11" t="s">
        <v>170</v>
      </c>
      <c r="L122" s="11"/>
      <c r="M122" s="18">
        <f t="shared" si="1"/>
        <v>1039.21</v>
      </c>
    </row>
    <row r="123" spans="1:13">
      <c r="A123" s="25" t="s">
        <v>60</v>
      </c>
      <c r="B123" s="25">
        <v>3</v>
      </c>
      <c r="C123" s="25">
        <v>2</v>
      </c>
      <c r="D123" s="20">
        <v>974.93</v>
      </c>
      <c r="E123" s="20">
        <v>422.49</v>
      </c>
      <c r="F123" s="20">
        <v>552.44000000000005</v>
      </c>
      <c r="G123" s="20">
        <v>0</v>
      </c>
      <c r="H123" s="27">
        <v>0</v>
      </c>
      <c r="I123" s="20">
        <v>16.239999999999998</v>
      </c>
      <c r="J123" s="11" t="s">
        <v>170</v>
      </c>
      <c r="K123" s="11" t="s">
        <v>170</v>
      </c>
      <c r="L123" s="11"/>
      <c r="M123" s="18">
        <f t="shared" si="1"/>
        <v>974.93</v>
      </c>
    </row>
    <row r="124" spans="1:13">
      <c r="A124" s="25" t="s">
        <v>60</v>
      </c>
      <c r="B124" s="25">
        <v>4</v>
      </c>
      <c r="C124" s="25">
        <v>3</v>
      </c>
      <c r="D124" s="20">
        <v>936.39</v>
      </c>
      <c r="E124" s="20">
        <v>406</v>
      </c>
      <c r="F124" s="20">
        <v>530.39</v>
      </c>
      <c r="G124" s="20">
        <v>0</v>
      </c>
      <c r="H124" s="27">
        <v>0</v>
      </c>
      <c r="I124" s="20">
        <v>15.92</v>
      </c>
      <c r="J124" s="11" t="s">
        <v>170</v>
      </c>
      <c r="K124" s="11" t="s">
        <v>170</v>
      </c>
      <c r="L124" s="11"/>
      <c r="M124" s="18">
        <f t="shared" si="1"/>
        <v>936.39</v>
      </c>
    </row>
    <row r="125" spans="1:13">
      <c r="A125" s="25" t="s">
        <v>60</v>
      </c>
      <c r="B125" s="25">
        <v>5</v>
      </c>
      <c r="C125" s="25">
        <v>4</v>
      </c>
      <c r="D125" s="20">
        <v>1009.23</v>
      </c>
      <c r="E125" s="20">
        <v>467.62</v>
      </c>
      <c r="F125" s="20">
        <v>541.62</v>
      </c>
      <c r="G125" s="20">
        <v>0</v>
      </c>
      <c r="H125" s="27">
        <v>0</v>
      </c>
      <c r="I125" s="20">
        <v>15.65</v>
      </c>
      <c r="J125" s="11" t="s">
        <v>170</v>
      </c>
      <c r="K125" s="11" t="s">
        <v>170</v>
      </c>
      <c r="L125" s="11"/>
      <c r="M125" s="18">
        <f t="shared" si="1"/>
        <v>1009.23</v>
      </c>
    </row>
    <row r="126" spans="1:13">
      <c r="A126" s="25" t="s">
        <v>61</v>
      </c>
      <c r="B126" s="25">
        <v>1</v>
      </c>
      <c r="C126" s="25">
        <v>0</v>
      </c>
      <c r="D126" s="20">
        <v>1393.7</v>
      </c>
      <c r="E126" s="20">
        <v>915.54</v>
      </c>
      <c r="F126" s="20">
        <v>478.16</v>
      </c>
      <c r="G126" s="20">
        <v>0</v>
      </c>
      <c r="H126" s="27">
        <v>0</v>
      </c>
      <c r="I126" s="20">
        <v>14.84</v>
      </c>
      <c r="J126" s="11" t="s">
        <v>170</v>
      </c>
      <c r="K126" s="11" t="s">
        <v>170</v>
      </c>
      <c r="L126" s="11"/>
      <c r="M126" s="18">
        <f t="shared" si="1"/>
        <v>1393.7</v>
      </c>
    </row>
    <row r="127" spans="1:13">
      <c r="A127" s="25" t="s">
        <v>61</v>
      </c>
      <c r="B127" s="25">
        <v>2</v>
      </c>
      <c r="C127" s="25">
        <v>1</v>
      </c>
      <c r="D127" s="20">
        <v>1357.49</v>
      </c>
      <c r="E127" s="20">
        <v>894.13</v>
      </c>
      <c r="F127" s="20">
        <v>463.37</v>
      </c>
      <c r="G127" s="20">
        <v>0</v>
      </c>
      <c r="H127" s="27">
        <v>0</v>
      </c>
      <c r="I127" s="20">
        <v>15.02</v>
      </c>
      <c r="J127" s="11" t="s">
        <v>170</v>
      </c>
      <c r="K127" s="11" t="s">
        <v>170</v>
      </c>
      <c r="L127" s="11"/>
      <c r="M127" s="18">
        <f t="shared" si="1"/>
        <v>1357.49</v>
      </c>
    </row>
    <row r="128" spans="1:13">
      <c r="A128" s="25" t="s">
        <v>61</v>
      </c>
      <c r="B128" s="25">
        <v>3</v>
      </c>
      <c r="C128" s="25">
        <v>2</v>
      </c>
      <c r="D128" s="20">
        <v>1357.49</v>
      </c>
      <c r="E128" s="20">
        <v>894.13</v>
      </c>
      <c r="F128" s="20">
        <v>463.37</v>
      </c>
      <c r="G128" s="20">
        <v>0</v>
      </c>
      <c r="H128" s="27">
        <v>0</v>
      </c>
      <c r="I128" s="20">
        <v>15.27</v>
      </c>
      <c r="J128" s="11" t="s">
        <v>170</v>
      </c>
      <c r="K128" s="11" t="s">
        <v>170</v>
      </c>
      <c r="L128" s="11"/>
      <c r="M128" s="18">
        <f t="shared" si="1"/>
        <v>1357.49</v>
      </c>
    </row>
    <row r="129" spans="1:13">
      <c r="A129" s="25" t="s">
        <v>61</v>
      </c>
      <c r="B129" s="25">
        <v>4</v>
      </c>
      <c r="C129" s="25">
        <v>3</v>
      </c>
      <c r="D129" s="20">
        <v>1403.61</v>
      </c>
      <c r="E129" s="20">
        <v>933.47</v>
      </c>
      <c r="F129" s="20">
        <v>470.14</v>
      </c>
      <c r="G129" s="20">
        <v>0</v>
      </c>
      <c r="H129" s="27">
        <v>0</v>
      </c>
      <c r="I129" s="20">
        <v>15.46</v>
      </c>
      <c r="J129" s="11" t="s">
        <v>170</v>
      </c>
      <c r="K129" s="11" t="s">
        <v>170</v>
      </c>
      <c r="L129" s="11"/>
      <c r="M129" s="18">
        <f t="shared" si="1"/>
        <v>1403.61</v>
      </c>
    </row>
    <row r="130" spans="1:13">
      <c r="A130" s="25" t="s">
        <v>61</v>
      </c>
      <c r="B130" s="25">
        <v>5</v>
      </c>
      <c r="C130" s="25">
        <v>4</v>
      </c>
      <c r="D130" s="20">
        <v>1393.7</v>
      </c>
      <c r="E130" s="20">
        <v>915.54</v>
      </c>
      <c r="F130" s="20">
        <v>478.16</v>
      </c>
      <c r="G130" s="20">
        <v>0</v>
      </c>
      <c r="H130" s="27">
        <v>0</v>
      </c>
      <c r="I130" s="20">
        <v>15.06</v>
      </c>
      <c r="J130" s="11" t="s">
        <v>170</v>
      </c>
      <c r="K130" s="11" t="s">
        <v>170</v>
      </c>
      <c r="L130" s="11"/>
      <c r="M130" s="18">
        <f t="shared" si="1"/>
        <v>1393.7</v>
      </c>
    </row>
    <row r="131" spans="1:13">
      <c r="A131" s="25" t="s">
        <v>62</v>
      </c>
      <c r="B131" s="25">
        <v>1</v>
      </c>
      <c r="C131" s="25">
        <v>0</v>
      </c>
      <c r="D131" s="20">
        <v>18837.030999999999</v>
      </c>
      <c r="E131" s="20">
        <v>0</v>
      </c>
      <c r="F131" s="20">
        <v>837.03099999999995</v>
      </c>
      <c r="G131" s="20">
        <v>18000</v>
      </c>
      <c r="H131" s="27">
        <v>18</v>
      </c>
      <c r="I131" s="20">
        <v>37.31</v>
      </c>
      <c r="J131" s="11" t="s">
        <v>170</v>
      </c>
      <c r="K131" s="11" t="s">
        <v>170</v>
      </c>
      <c r="L131" s="11"/>
      <c r="M131" s="18">
        <f t="shared" si="1"/>
        <v>18837.030999999999</v>
      </c>
    </row>
    <row r="132" spans="1:13">
      <c r="A132" s="25" t="s">
        <v>62</v>
      </c>
      <c r="B132" s="25">
        <v>2</v>
      </c>
      <c r="C132" s="25">
        <v>1</v>
      </c>
      <c r="D132" s="20">
        <v>16922.080999999998</v>
      </c>
      <c r="E132" s="20">
        <v>10.335000000000001</v>
      </c>
      <c r="F132" s="20">
        <v>911.74599999999998</v>
      </c>
      <c r="G132" s="20">
        <v>16000</v>
      </c>
      <c r="H132" s="27">
        <v>16</v>
      </c>
      <c r="I132" s="20">
        <v>41.277999999999999</v>
      </c>
      <c r="J132" s="11" t="s">
        <v>170</v>
      </c>
      <c r="K132" s="11" t="s">
        <v>170</v>
      </c>
      <c r="L132" s="11"/>
      <c r="M132" s="18">
        <f t="shared" si="1"/>
        <v>16922.080999999998</v>
      </c>
    </row>
    <row r="133" spans="1:13">
      <c r="A133" s="25" t="s">
        <v>62</v>
      </c>
      <c r="B133" s="25">
        <v>3</v>
      </c>
      <c r="C133" s="25">
        <v>2</v>
      </c>
      <c r="D133" s="20">
        <v>15857.752</v>
      </c>
      <c r="E133" s="20">
        <v>0</v>
      </c>
      <c r="F133" s="20">
        <v>857.75199999999995</v>
      </c>
      <c r="G133" s="20">
        <v>15000</v>
      </c>
      <c r="H133" s="27">
        <v>15</v>
      </c>
      <c r="I133" s="20">
        <v>38.415999999999997</v>
      </c>
      <c r="J133" s="11" t="s">
        <v>170</v>
      </c>
      <c r="K133" s="11" t="s">
        <v>170</v>
      </c>
      <c r="L133" s="11"/>
      <c r="M133" s="18">
        <f t="shared" si="1"/>
        <v>15857.752</v>
      </c>
    </row>
    <row r="134" spans="1:13">
      <c r="A134" s="25" t="s">
        <v>62</v>
      </c>
      <c r="B134" s="25">
        <v>4</v>
      </c>
      <c r="C134" s="25">
        <v>3</v>
      </c>
      <c r="D134" s="20">
        <v>17941.368999999999</v>
      </c>
      <c r="E134" s="20">
        <v>0</v>
      </c>
      <c r="F134" s="20">
        <v>941.36900000000003</v>
      </c>
      <c r="G134" s="20">
        <v>17000</v>
      </c>
      <c r="H134" s="27">
        <v>17</v>
      </c>
      <c r="I134" s="20">
        <v>38.768999999999998</v>
      </c>
      <c r="J134" s="11" t="s">
        <v>170</v>
      </c>
      <c r="K134" s="11" t="s">
        <v>170</v>
      </c>
      <c r="L134" s="11"/>
      <c r="M134" s="18">
        <f t="shared" ref="M134:M197" si="2">IF(AND(J134="Yes",K134="Yes",ISNUMBER(D134)),D134,"")</f>
        <v>17941.368999999999</v>
      </c>
    </row>
    <row r="135" spans="1:13">
      <c r="A135" s="25" t="s">
        <v>62</v>
      </c>
      <c r="B135" s="25">
        <v>5</v>
      </c>
      <c r="C135" s="25">
        <v>4</v>
      </c>
      <c r="D135" s="20">
        <v>16997.042000000001</v>
      </c>
      <c r="E135" s="20">
        <v>2.4550000000000001</v>
      </c>
      <c r="F135" s="20">
        <v>994.58699999999999</v>
      </c>
      <c r="G135" s="20">
        <v>16000</v>
      </c>
      <c r="H135" s="27">
        <v>16</v>
      </c>
      <c r="I135" s="20">
        <v>39.526000000000003</v>
      </c>
      <c r="J135" s="11" t="s">
        <v>170</v>
      </c>
      <c r="K135" s="11" t="s">
        <v>170</v>
      </c>
      <c r="L135" s="11"/>
      <c r="M135" s="18">
        <f t="shared" si="2"/>
        <v>16997.042000000001</v>
      </c>
    </row>
    <row r="136" spans="1:13">
      <c r="A136" s="25" t="s">
        <v>64</v>
      </c>
      <c r="B136" s="25">
        <v>1</v>
      </c>
      <c r="C136" s="25">
        <v>0</v>
      </c>
      <c r="D136" s="20">
        <v>15973.967000000001</v>
      </c>
      <c r="E136" s="20">
        <v>73.900999999999996</v>
      </c>
      <c r="F136" s="20">
        <v>900.06700000000001</v>
      </c>
      <c r="G136" s="20">
        <v>15000</v>
      </c>
      <c r="H136" s="27">
        <v>15</v>
      </c>
      <c r="I136" s="20">
        <v>40.524000000000001</v>
      </c>
      <c r="J136" s="11" t="s">
        <v>170</v>
      </c>
      <c r="K136" s="11" t="s">
        <v>170</v>
      </c>
      <c r="L136" s="11"/>
      <c r="M136" s="18">
        <f t="shared" si="2"/>
        <v>15973.967000000001</v>
      </c>
    </row>
    <row r="137" spans="1:13">
      <c r="A137" s="25" t="s">
        <v>64</v>
      </c>
      <c r="B137" s="25">
        <v>2</v>
      </c>
      <c r="C137" s="25">
        <v>1</v>
      </c>
      <c r="D137" s="20">
        <v>16968.866999999998</v>
      </c>
      <c r="E137" s="20">
        <v>28.991</v>
      </c>
      <c r="F137" s="20">
        <v>939.875</v>
      </c>
      <c r="G137" s="20">
        <v>16000</v>
      </c>
      <c r="H137" s="27">
        <v>16</v>
      </c>
      <c r="I137" s="20">
        <v>42.503</v>
      </c>
      <c r="J137" s="11" t="s">
        <v>170</v>
      </c>
      <c r="K137" s="11" t="s">
        <v>170</v>
      </c>
      <c r="L137" s="11"/>
      <c r="M137" s="18">
        <f t="shared" si="2"/>
        <v>16968.866999999998</v>
      </c>
    </row>
    <row r="138" spans="1:13">
      <c r="A138" s="25" t="s">
        <v>64</v>
      </c>
      <c r="B138" s="25">
        <v>3</v>
      </c>
      <c r="C138" s="25">
        <v>2</v>
      </c>
      <c r="D138" s="20">
        <v>15004.813</v>
      </c>
      <c r="E138" s="20">
        <v>52.82</v>
      </c>
      <c r="F138" s="20">
        <v>951.99300000000005</v>
      </c>
      <c r="G138" s="20">
        <v>14000</v>
      </c>
      <c r="H138" s="27">
        <v>14</v>
      </c>
      <c r="I138" s="20">
        <v>40.320999999999998</v>
      </c>
      <c r="J138" s="11" t="s">
        <v>170</v>
      </c>
      <c r="K138" s="11" t="s">
        <v>170</v>
      </c>
      <c r="L138" s="11"/>
      <c r="M138" s="18">
        <f t="shared" si="2"/>
        <v>15004.813</v>
      </c>
    </row>
    <row r="139" spans="1:13">
      <c r="A139" s="25" t="s">
        <v>64</v>
      </c>
      <c r="B139" s="25">
        <v>4</v>
      </c>
      <c r="C139" s="25">
        <v>3</v>
      </c>
      <c r="D139" s="20">
        <v>17986.308000000001</v>
      </c>
      <c r="E139" s="20">
        <v>7.91</v>
      </c>
      <c r="F139" s="20">
        <v>978.39700000000005</v>
      </c>
      <c r="G139" s="20">
        <v>17000</v>
      </c>
      <c r="H139" s="27">
        <v>17</v>
      </c>
      <c r="I139" s="20">
        <v>40.244999999999997</v>
      </c>
      <c r="J139" s="11" t="s">
        <v>170</v>
      </c>
      <c r="K139" s="11" t="s">
        <v>170</v>
      </c>
      <c r="L139" s="11"/>
      <c r="M139" s="18">
        <f t="shared" si="2"/>
        <v>17986.308000000001</v>
      </c>
    </row>
    <row r="140" spans="1:13">
      <c r="A140" s="25" t="s">
        <v>64</v>
      </c>
      <c r="B140" s="25">
        <v>5</v>
      </c>
      <c r="C140" s="25">
        <v>4</v>
      </c>
      <c r="D140" s="20">
        <v>16957.312999999998</v>
      </c>
      <c r="E140" s="20">
        <v>7.91</v>
      </c>
      <c r="F140" s="20">
        <v>949.40200000000004</v>
      </c>
      <c r="G140" s="20">
        <v>16000</v>
      </c>
      <c r="H140" s="27">
        <v>16</v>
      </c>
      <c r="I140" s="20">
        <v>43.116999999999997</v>
      </c>
      <c r="J140" s="11" t="s">
        <v>170</v>
      </c>
      <c r="K140" s="11" t="s">
        <v>170</v>
      </c>
      <c r="L140" s="11"/>
      <c r="M140" s="18">
        <f t="shared" si="2"/>
        <v>16957.312999999998</v>
      </c>
    </row>
    <row r="141" spans="1:13">
      <c r="A141" s="25" t="s">
        <v>65</v>
      </c>
      <c r="B141" s="25">
        <v>1</v>
      </c>
      <c r="C141" s="25">
        <v>0</v>
      </c>
      <c r="D141" s="20">
        <v>16979.367999999999</v>
      </c>
      <c r="E141" s="20">
        <v>993.58699999999999</v>
      </c>
      <c r="F141" s="20">
        <v>985.78200000000004</v>
      </c>
      <c r="G141" s="20">
        <v>15000</v>
      </c>
      <c r="H141" s="27">
        <v>15</v>
      </c>
      <c r="I141" s="20">
        <v>35.406999999999996</v>
      </c>
      <c r="J141" s="11" t="s">
        <v>170</v>
      </c>
      <c r="K141" s="11" t="s">
        <v>170</v>
      </c>
      <c r="L141" s="11"/>
      <c r="M141" s="18">
        <f t="shared" si="2"/>
        <v>16979.367999999999</v>
      </c>
    </row>
    <row r="142" spans="1:13">
      <c r="A142" s="25" t="s">
        <v>65</v>
      </c>
      <c r="B142" s="25">
        <v>2</v>
      </c>
      <c r="C142" s="25">
        <v>1</v>
      </c>
      <c r="D142" s="20">
        <v>18724.413</v>
      </c>
      <c r="E142" s="20">
        <v>728.55700000000002</v>
      </c>
      <c r="F142" s="20">
        <v>995.85699999999997</v>
      </c>
      <c r="G142" s="20">
        <v>17000</v>
      </c>
      <c r="H142" s="27">
        <v>17</v>
      </c>
      <c r="I142" s="20">
        <v>37.942</v>
      </c>
      <c r="J142" s="11" t="s">
        <v>170</v>
      </c>
      <c r="K142" s="11" t="s">
        <v>170</v>
      </c>
      <c r="L142" s="11"/>
      <c r="M142" s="18">
        <f t="shared" si="2"/>
        <v>18724.413</v>
      </c>
    </row>
    <row r="143" spans="1:13">
      <c r="A143" s="25" t="s">
        <v>65</v>
      </c>
      <c r="B143" s="25">
        <v>3</v>
      </c>
      <c r="C143" s="25">
        <v>2</v>
      </c>
      <c r="D143" s="20">
        <v>15842.53</v>
      </c>
      <c r="E143" s="20">
        <v>909.81</v>
      </c>
      <c r="F143" s="20">
        <v>932.71900000000005</v>
      </c>
      <c r="G143" s="20">
        <v>14000</v>
      </c>
      <c r="H143" s="27">
        <v>14</v>
      </c>
      <c r="I143" s="20">
        <v>40.445999999999998</v>
      </c>
      <c r="J143" s="11" t="s">
        <v>170</v>
      </c>
      <c r="K143" s="11" t="s">
        <v>170</v>
      </c>
      <c r="L143" s="11"/>
      <c r="M143" s="18">
        <f t="shared" si="2"/>
        <v>15842.53</v>
      </c>
    </row>
    <row r="144" spans="1:13">
      <c r="A144" s="25" t="s">
        <v>65</v>
      </c>
      <c r="B144" s="25">
        <v>4</v>
      </c>
      <c r="C144" s="25">
        <v>3</v>
      </c>
      <c r="D144" s="20">
        <v>18441.205000000002</v>
      </c>
      <c r="E144" s="20">
        <v>473.71499999999997</v>
      </c>
      <c r="F144" s="20">
        <v>967.49099999999999</v>
      </c>
      <c r="G144" s="20">
        <v>17000</v>
      </c>
      <c r="H144" s="27">
        <v>17</v>
      </c>
      <c r="I144" s="20">
        <v>40.43</v>
      </c>
      <c r="J144" s="11" t="s">
        <v>170</v>
      </c>
      <c r="K144" s="11" t="s">
        <v>170</v>
      </c>
      <c r="L144" s="11"/>
      <c r="M144" s="18">
        <f t="shared" si="2"/>
        <v>18441.205000000002</v>
      </c>
    </row>
    <row r="145" spans="1:13">
      <c r="A145" s="25" t="s">
        <v>65</v>
      </c>
      <c r="B145" s="25">
        <v>5</v>
      </c>
      <c r="C145" s="25">
        <v>4</v>
      </c>
      <c r="D145" s="20">
        <v>18726.907999999999</v>
      </c>
      <c r="E145" s="20">
        <v>738.21400000000006</v>
      </c>
      <c r="F145" s="20">
        <v>988.69399999999996</v>
      </c>
      <c r="G145" s="20">
        <v>17000</v>
      </c>
      <c r="H145" s="27">
        <v>17</v>
      </c>
      <c r="I145" s="20">
        <v>40.700000000000003</v>
      </c>
      <c r="J145" s="11" t="s">
        <v>170</v>
      </c>
      <c r="K145" s="11" t="s">
        <v>170</v>
      </c>
      <c r="L145" s="11"/>
      <c r="M145" s="18">
        <f t="shared" si="2"/>
        <v>18726.907999999999</v>
      </c>
    </row>
    <row r="146" spans="1:13">
      <c r="A146" s="25" t="s">
        <v>67</v>
      </c>
      <c r="B146" s="25">
        <v>1</v>
      </c>
      <c r="C146" s="25">
        <v>0</v>
      </c>
      <c r="D146" s="20">
        <v>18885.798999999999</v>
      </c>
      <c r="E146" s="20">
        <v>911.53399999999999</v>
      </c>
      <c r="F146" s="20">
        <v>974.26499999999999</v>
      </c>
      <c r="G146" s="20">
        <v>17000</v>
      </c>
      <c r="H146" s="27">
        <v>17</v>
      </c>
      <c r="I146" s="20">
        <v>38.195999999999998</v>
      </c>
      <c r="J146" s="11" t="s">
        <v>170</v>
      </c>
      <c r="K146" s="11" t="s">
        <v>170</v>
      </c>
      <c r="L146" s="11"/>
      <c r="M146" s="18">
        <f t="shared" si="2"/>
        <v>18885.798999999999</v>
      </c>
    </row>
    <row r="147" spans="1:13">
      <c r="A147" s="25" t="s">
        <v>67</v>
      </c>
      <c r="B147" s="25">
        <v>2</v>
      </c>
      <c r="C147" s="25">
        <v>1</v>
      </c>
      <c r="D147" s="20">
        <v>16918.866000000002</v>
      </c>
      <c r="E147" s="20">
        <v>959.11400000000003</v>
      </c>
      <c r="F147" s="20">
        <v>959.75300000000004</v>
      </c>
      <c r="G147" s="20">
        <v>15000</v>
      </c>
      <c r="H147" s="27">
        <v>15</v>
      </c>
      <c r="I147" s="20">
        <v>39.579000000000001</v>
      </c>
      <c r="J147" s="11" t="s">
        <v>170</v>
      </c>
      <c r="K147" s="11" t="s">
        <v>170</v>
      </c>
      <c r="L147" s="11"/>
      <c r="M147" s="18">
        <f t="shared" si="2"/>
        <v>16918.866000000002</v>
      </c>
    </row>
    <row r="148" spans="1:13">
      <c r="A148" s="25" t="s">
        <v>67</v>
      </c>
      <c r="B148" s="25">
        <v>3</v>
      </c>
      <c r="C148" s="25">
        <v>2</v>
      </c>
      <c r="D148" s="20">
        <v>16187.873</v>
      </c>
      <c r="E148" s="20">
        <v>1243.0899999999999</v>
      </c>
      <c r="F148" s="20">
        <v>944.78300000000002</v>
      </c>
      <c r="G148" s="20">
        <v>14000</v>
      </c>
      <c r="H148" s="27">
        <v>14</v>
      </c>
      <c r="I148" s="20">
        <v>42.499000000000002</v>
      </c>
      <c r="J148" s="11" t="s">
        <v>170</v>
      </c>
      <c r="K148" s="11" t="s">
        <v>170</v>
      </c>
      <c r="L148" s="11"/>
      <c r="M148" s="18">
        <f t="shared" si="2"/>
        <v>16187.873</v>
      </c>
    </row>
    <row r="149" spans="1:13">
      <c r="A149" s="25" t="s">
        <v>67</v>
      </c>
      <c r="B149" s="25">
        <v>4</v>
      </c>
      <c r="C149" s="25">
        <v>3</v>
      </c>
      <c r="D149" s="20">
        <v>18901.647000000001</v>
      </c>
      <c r="E149" s="20">
        <v>915.59299999999996</v>
      </c>
      <c r="F149" s="20">
        <v>986.05399999999997</v>
      </c>
      <c r="G149" s="20">
        <v>17000</v>
      </c>
      <c r="H149" s="27">
        <v>17</v>
      </c>
      <c r="I149" s="20">
        <v>41.238999999999997</v>
      </c>
      <c r="J149" s="11" t="s">
        <v>170</v>
      </c>
      <c r="K149" s="11" t="s">
        <v>170</v>
      </c>
      <c r="L149" s="11"/>
      <c r="M149" s="18">
        <f t="shared" si="2"/>
        <v>18901.647000000001</v>
      </c>
    </row>
    <row r="150" spans="1:13">
      <c r="A150" s="25" t="s">
        <v>67</v>
      </c>
      <c r="B150" s="25">
        <v>5</v>
      </c>
      <c r="C150" s="25">
        <v>4</v>
      </c>
      <c r="D150" s="20">
        <v>16910.8</v>
      </c>
      <c r="E150" s="20">
        <v>959.11400000000003</v>
      </c>
      <c r="F150" s="20">
        <v>951.68600000000004</v>
      </c>
      <c r="G150" s="20">
        <v>15000</v>
      </c>
      <c r="H150" s="27">
        <v>15</v>
      </c>
      <c r="I150" s="20">
        <v>37.064</v>
      </c>
      <c r="J150" s="11" t="s">
        <v>170</v>
      </c>
      <c r="K150" s="11" t="s">
        <v>170</v>
      </c>
      <c r="L150" s="11"/>
      <c r="M150" s="18">
        <f t="shared" si="2"/>
        <v>16910.8</v>
      </c>
    </row>
    <row r="151" spans="1:13">
      <c r="A151" s="25" t="s">
        <v>68</v>
      </c>
      <c r="B151" s="25">
        <v>1</v>
      </c>
      <c r="C151" s="25">
        <v>0</v>
      </c>
      <c r="D151" s="20">
        <v>15214.982</v>
      </c>
      <c r="E151" s="20">
        <v>1187.019</v>
      </c>
      <c r="F151" s="20">
        <v>1027.963</v>
      </c>
      <c r="G151" s="20">
        <v>13000</v>
      </c>
      <c r="H151" s="27">
        <v>13</v>
      </c>
      <c r="I151" s="20">
        <v>32.078000000000003</v>
      </c>
      <c r="J151" s="11" t="s">
        <v>170</v>
      </c>
      <c r="K151" s="11" t="s">
        <v>170</v>
      </c>
      <c r="L151" s="11"/>
      <c r="M151" s="18">
        <f t="shared" si="2"/>
        <v>15214.982</v>
      </c>
    </row>
    <row r="152" spans="1:13">
      <c r="A152" s="25" t="s">
        <v>68</v>
      </c>
      <c r="B152" s="25">
        <v>2</v>
      </c>
      <c r="C152" s="25">
        <v>1</v>
      </c>
      <c r="D152" s="20">
        <v>15134.022000000001</v>
      </c>
      <c r="E152" s="20">
        <v>1202.3219999999999</v>
      </c>
      <c r="F152" s="20">
        <v>931.7</v>
      </c>
      <c r="G152" s="20">
        <v>13000</v>
      </c>
      <c r="H152" s="27">
        <v>13</v>
      </c>
      <c r="I152" s="20">
        <v>41.46</v>
      </c>
      <c r="J152" s="11" t="s">
        <v>170</v>
      </c>
      <c r="K152" s="11" t="s">
        <v>170</v>
      </c>
      <c r="L152" s="11"/>
      <c r="M152" s="18">
        <f t="shared" si="2"/>
        <v>15134.022000000001</v>
      </c>
    </row>
    <row r="153" spans="1:13">
      <c r="A153" s="25" t="s">
        <v>68</v>
      </c>
      <c r="B153" s="25">
        <v>3</v>
      </c>
      <c r="C153" s="25">
        <v>2</v>
      </c>
      <c r="D153" s="20">
        <v>15092.933000000001</v>
      </c>
      <c r="E153" s="20">
        <v>1155.1420000000001</v>
      </c>
      <c r="F153" s="20">
        <v>937.79100000000005</v>
      </c>
      <c r="G153" s="20">
        <v>13000</v>
      </c>
      <c r="H153" s="27">
        <v>13</v>
      </c>
      <c r="I153" s="20">
        <v>40.99</v>
      </c>
      <c r="J153" s="11" t="s">
        <v>170</v>
      </c>
      <c r="K153" s="11" t="s">
        <v>170</v>
      </c>
      <c r="L153" s="11"/>
      <c r="M153" s="18">
        <f t="shared" si="2"/>
        <v>15092.933000000001</v>
      </c>
    </row>
    <row r="154" spans="1:13">
      <c r="A154" s="25" t="s">
        <v>68</v>
      </c>
      <c r="B154" s="25">
        <v>4</v>
      </c>
      <c r="C154" s="25">
        <v>3</v>
      </c>
      <c r="D154" s="20">
        <v>15116.375</v>
      </c>
      <c r="E154" s="20">
        <v>1097.0350000000001</v>
      </c>
      <c r="F154" s="20">
        <v>1019.34</v>
      </c>
      <c r="G154" s="20">
        <v>13000</v>
      </c>
      <c r="H154" s="27">
        <v>13</v>
      </c>
      <c r="I154" s="20">
        <v>40.392000000000003</v>
      </c>
      <c r="J154" s="11" t="s">
        <v>170</v>
      </c>
      <c r="K154" s="11" t="s">
        <v>170</v>
      </c>
      <c r="L154" s="11"/>
      <c r="M154" s="18">
        <f t="shared" si="2"/>
        <v>15116.375</v>
      </c>
    </row>
    <row r="155" spans="1:13">
      <c r="A155" s="25" t="s">
        <v>68</v>
      </c>
      <c r="B155" s="25">
        <v>5</v>
      </c>
      <c r="C155" s="25">
        <v>4</v>
      </c>
      <c r="D155" s="20">
        <v>15202.592000000001</v>
      </c>
      <c r="E155" s="20">
        <v>1193.518</v>
      </c>
      <c r="F155" s="20">
        <v>1009.074</v>
      </c>
      <c r="G155" s="20">
        <v>13000</v>
      </c>
      <c r="H155" s="27">
        <v>13</v>
      </c>
      <c r="I155" s="20">
        <v>41.140999999999998</v>
      </c>
      <c r="J155" s="11" t="s">
        <v>170</v>
      </c>
      <c r="K155" s="11" t="s">
        <v>170</v>
      </c>
      <c r="L155" s="11"/>
      <c r="M155" s="18">
        <f t="shared" si="2"/>
        <v>15202.592000000001</v>
      </c>
    </row>
    <row r="156" spans="1:13">
      <c r="A156" s="25" t="s">
        <v>70</v>
      </c>
      <c r="B156" s="25">
        <v>1</v>
      </c>
      <c r="C156" s="25">
        <v>0</v>
      </c>
      <c r="D156" s="20">
        <v>7882.6019999999999</v>
      </c>
      <c r="E156" s="20">
        <v>70.334999999999994</v>
      </c>
      <c r="F156" s="20">
        <v>812.26700000000005</v>
      </c>
      <c r="G156" s="20">
        <v>7000</v>
      </c>
      <c r="H156" s="27">
        <v>7</v>
      </c>
      <c r="I156" s="20">
        <v>38.270000000000003</v>
      </c>
      <c r="J156" s="11" t="s">
        <v>170</v>
      </c>
      <c r="K156" s="11" t="s">
        <v>170</v>
      </c>
      <c r="L156" s="11"/>
      <c r="M156" s="18">
        <f t="shared" si="2"/>
        <v>7882.6019999999999</v>
      </c>
    </row>
    <row r="157" spans="1:13">
      <c r="A157" s="25" t="s">
        <v>70</v>
      </c>
      <c r="B157" s="25">
        <v>2</v>
      </c>
      <c r="C157" s="25">
        <v>1</v>
      </c>
      <c r="D157" s="20">
        <v>7086.6360000000004</v>
      </c>
      <c r="E157" s="20">
        <v>248.18899999999999</v>
      </c>
      <c r="F157" s="20">
        <v>838.447</v>
      </c>
      <c r="G157" s="20">
        <v>6000</v>
      </c>
      <c r="H157" s="27">
        <v>6</v>
      </c>
      <c r="I157" s="20">
        <v>43.402000000000001</v>
      </c>
      <c r="J157" s="11" t="s">
        <v>170</v>
      </c>
      <c r="K157" s="11" t="s">
        <v>170</v>
      </c>
      <c r="L157" s="11"/>
      <c r="M157" s="18">
        <f t="shared" si="2"/>
        <v>7086.6360000000004</v>
      </c>
    </row>
    <row r="158" spans="1:13">
      <c r="A158" s="25" t="s">
        <v>70</v>
      </c>
      <c r="B158" s="25">
        <v>3</v>
      </c>
      <c r="C158" s="25">
        <v>2</v>
      </c>
      <c r="D158" s="20">
        <v>7883.143</v>
      </c>
      <c r="E158" s="20">
        <v>82.254000000000005</v>
      </c>
      <c r="F158" s="20">
        <v>800.88900000000001</v>
      </c>
      <c r="G158" s="20">
        <v>7000</v>
      </c>
      <c r="H158" s="27">
        <v>7</v>
      </c>
      <c r="I158" s="20">
        <v>41.034999999999997</v>
      </c>
      <c r="J158" s="11" t="s">
        <v>170</v>
      </c>
      <c r="K158" s="11" t="s">
        <v>170</v>
      </c>
      <c r="L158" s="11"/>
      <c r="M158" s="18">
        <f t="shared" si="2"/>
        <v>7883.143</v>
      </c>
    </row>
    <row r="159" spans="1:13">
      <c r="A159" s="25" t="s">
        <v>70</v>
      </c>
      <c r="B159" s="25">
        <v>4</v>
      </c>
      <c r="C159" s="25">
        <v>3</v>
      </c>
      <c r="D159" s="20">
        <v>4170.2309999999998</v>
      </c>
      <c r="E159" s="20">
        <v>349.43599999999998</v>
      </c>
      <c r="F159" s="20">
        <v>820.79499999999996</v>
      </c>
      <c r="G159" s="20">
        <v>3000</v>
      </c>
      <c r="H159" s="27">
        <v>3</v>
      </c>
      <c r="I159" s="20">
        <v>43.442999999999998</v>
      </c>
      <c r="J159" s="11" t="s">
        <v>170</v>
      </c>
      <c r="K159" s="11" t="s">
        <v>170</v>
      </c>
      <c r="L159" s="11"/>
      <c r="M159" s="18">
        <f t="shared" si="2"/>
        <v>4170.2309999999998</v>
      </c>
    </row>
    <row r="160" spans="1:13">
      <c r="A160" s="25" t="s">
        <v>70</v>
      </c>
      <c r="B160" s="25">
        <v>5</v>
      </c>
      <c r="C160" s="25">
        <v>4</v>
      </c>
      <c r="D160" s="20">
        <v>7883.0469999999996</v>
      </c>
      <c r="E160" s="20">
        <v>38.424999999999997</v>
      </c>
      <c r="F160" s="20">
        <v>844.62300000000005</v>
      </c>
      <c r="G160" s="20">
        <v>7000</v>
      </c>
      <c r="H160" s="27">
        <v>7</v>
      </c>
      <c r="I160" s="20">
        <v>39.156999999999996</v>
      </c>
      <c r="J160" s="11" t="s">
        <v>170</v>
      </c>
      <c r="K160" s="11" t="s">
        <v>170</v>
      </c>
      <c r="L160" s="11"/>
      <c r="M160" s="18">
        <f t="shared" si="2"/>
        <v>7883.0469999999996</v>
      </c>
    </row>
    <row r="161" spans="1:13">
      <c r="A161" s="25" t="s">
        <v>72</v>
      </c>
      <c r="B161" s="25">
        <v>1</v>
      </c>
      <c r="C161" s="25">
        <v>0</v>
      </c>
      <c r="D161" s="20">
        <v>4488.2280000000001</v>
      </c>
      <c r="E161" s="20">
        <v>691.20399999999995</v>
      </c>
      <c r="F161" s="20">
        <v>797.024</v>
      </c>
      <c r="G161" s="20">
        <v>3000</v>
      </c>
      <c r="H161" s="27">
        <v>3</v>
      </c>
      <c r="I161" s="20">
        <v>44.216000000000001</v>
      </c>
      <c r="J161" s="11" t="s">
        <v>170</v>
      </c>
      <c r="K161" s="11" t="s">
        <v>170</v>
      </c>
      <c r="L161" s="11"/>
      <c r="M161" s="18">
        <f t="shared" si="2"/>
        <v>4488.2280000000001</v>
      </c>
    </row>
    <row r="162" spans="1:13">
      <c r="A162" s="25" t="s">
        <v>72</v>
      </c>
      <c r="B162" s="25">
        <v>2</v>
      </c>
      <c r="C162" s="25">
        <v>1</v>
      </c>
      <c r="D162" s="20">
        <v>4570.6760000000004</v>
      </c>
      <c r="E162" s="20">
        <v>725.83</v>
      </c>
      <c r="F162" s="20">
        <v>844.846</v>
      </c>
      <c r="G162" s="20">
        <v>3000</v>
      </c>
      <c r="H162" s="27">
        <v>3</v>
      </c>
      <c r="I162" s="20">
        <v>43.134999999999998</v>
      </c>
      <c r="J162" s="11" t="s">
        <v>170</v>
      </c>
      <c r="K162" s="11" t="s">
        <v>170</v>
      </c>
      <c r="L162" s="11"/>
      <c r="M162" s="18">
        <f t="shared" si="2"/>
        <v>4570.6760000000004</v>
      </c>
    </row>
    <row r="163" spans="1:13">
      <c r="A163" s="25" t="s">
        <v>72</v>
      </c>
      <c r="B163" s="25">
        <v>3</v>
      </c>
      <c r="C163" s="25">
        <v>2</v>
      </c>
      <c r="D163" s="20">
        <v>4525.4430000000002</v>
      </c>
      <c r="E163" s="20">
        <v>691.20399999999995</v>
      </c>
      <c r="F163" s="20">
        <v>834.23900000000003</v>
      </c>
      <c r="G163" s="20">
        <v>3000</v>
      </c>
      <c r="H163" s="27">
        <v>3</v>
      </c>
      <c r="I163" s="20">
        <v>40.4</v>
      </c>
      <c r="J163" s="11" t="s">
        <v>170</v>
      </c>
      <c r="K163" s="11" t="s">
        <v>170</v>
      </c>
      <c r="L163" s="11"/>
      <c r="M163" s="18">
        <f t="shared" si="2"/>
        <v>4525.4430000000002</v>
      </c>
    </row>
    <row r="164" spans="1:13">
      <c r="A164" s="25" t="s">
        <v>72</v>
      </c>
      <c r="B164" s="25">
        <v>4</v>
      </c>
      <c r="C164" s="25">
        <v>3</v>
      </c>
      <c r="D164" s="20">
        <v>4538.4049999999997</v>
      </c>
      <c r="E164" s="20">
        <v>646.495</v>
      </c>
      <c r="F164" s="20">
        <v>891.91</v>
      </c>
      <c r="G164" s="20">
        <v>3000</v>
      </c>
      <c r="H164" s="27">
        <v>3</v>
      </c>
      <c r="I164" s="20">
        <v>43.904000000000003</v>
      </c>
      <c r="J164" s="11" t="s">
        <v>170</v>
      </c>
      <c r="K164" s="11" t="s">
        <v>170</v>
      </c>
      <c r="L164" s="11"/>
      <c r="M164" s="18">
        <f t="shared" si="2"/>
        <v>4538.4049999999997</v>
      </c>
    </row>
    <row r="165" spans="1:13">
      <c r="A165" s="25" t="s">
        <v>72</v>
      </c>
      <c r="B165" s="25">
        <v>5</v>
      </c>
      <c r="C165" s="25">
        <v>4</v>
      </c>
      <c r="D165" s="20">
        <v>4656.768</v>
      </c>
      <c r="E165" s="20">
        <v>817.01</v>
      </c>
      <c r="F165" s="20">
        <v>839.75800000000004</v>
      </c>
      <c r="G165" s="20">
        <v>3000</v>
      </c>
      <c r="H165" s="27">
        <v>3</v>
      </c>
      <c r="I165" s="20">
        <v>44.014000000000003</v>
      </c>
      <c r="J165" s="11" t="s">
        <v>170</v>
      </c>
      <c r="K165" s="11" t="s">
        <v>170</v>
      </c>
      <c r="L165" s="11"/>
      <c r="M165" s="18">
        <f t="shared" si="2"/>
        <v>4656.768</v>
      </c>
    </row>
    <row r="166" spans="1:13">
      <c r="A166" s="25" t="s">
        <v>73</v>
      </c>
      <c r="B166" s="25">
        <v>1</v>
      </c>
      <c r="C166" s="25">
        <v>0</v>
      </c>
      <c r="D166" s="20">
        <v>4394.3549999999996</v>
      </c>
      <c r="E166" s="20">
        <v>490.16500000000002</v>
      </c>
      <c r="F166" s="20">
        <v>904.19</v>
      </c>
      <c r="G166" s="20">
        <v>3000</v>
      </c>
      <c r="H166" s="27">
        <v>3</v>
      </c>
      <c r="I166" s="20">
        <v>40.036999999999999</v>
      </c>
      <c r="J166" s="11" t="s">
        <v>170</v>
      </c>
      <c r="K166" s="11" t="s">
        <v>170</v>
      </c>
      <c r="L166" s="11"/>
      <c r="M166" s="18">
        <f t="shared" si="2"/>
        <v>4394.3549999999996</v>
      </c>
    </row>
    <row r="167" spans="1:13">
      <c r="A167" s="25" t="s">
        <v>73</v>
      </c>
      <c r="B167" s="25">
        <v>2</v>
      </c>
      <c r="C167" s="25">
        <v>1</v>
      </c>
      <c r="D167" s="20">
        <v>4447.0820000000003</v>
      </c>
      <c r="E167" s="20">
        <v>513.83900000000006</v>
      </c>
      <c r="F167" s="20">
        <v>933.24300000000005</v>
      </c>
      <c r="G167" s="20">
        <v>3000</v>
      </c>
      <c r="H167" s="27">
        <v>3</v>
      </c>
      <c r="I167" s="20">
        <v>42.521000000000001</v>
      </c>
      <c r="J167" s="11" t="s">
        <v>170</v>
      </c>
      <c r="K167" s="11" t="s">
        <v>170</v>
      </c>
      <c r="L167" s="11"/>
      <c r="M167" s="18">
        <f t="shared" si="2"/>
        <v>4447.0820000000003</v>
      </c>
    </row>
    <row r="168" spans="1:13">
      <c r="A168" s="25" t="s">
        <v>73</v>
      </c>
      <c r="B168" s="25">
        <v>3</v>
      </c>
      <c r="C168" s="25">
        <v>2</v>
      </c>
      <c r="D168" s="20">
        <v>4434.8860000000004</v>
      </c>
      <c r="E168" s="20">
        <v>491.93799999999999</v>
      </c>
      <c r="F168" s="20">
        <v>942.94799999999998</v>
      </c>
      <c r="G168" s="20">
        <v>3000</v>
      </c>
      <c r="H168" s="27">
        <v>3</v>
      </c>
      <c r="I168" s="20">
        <v>47.018000000000001</v>
      </c>
      <c r="J168" s="11" t="s">
        <v>170</v>
      </c>
      <c r="K168" s="11" t="s">
        <v>170</v>
      </c>
      <c r="L168" s="11"/>
      <c r="M168" s="18">
        <f t="shared" si="2"/>
        <v>4434.8860000000004</v>
      </c>
    </row>
    <row r="169" spans="1:13">
      <c r="A169" s="25" t="s">
        <v>73</v>
      </c>
      <c r="B169" s="25">
        <v>4</v>
      </c>
      <c r="C169" s="25">
        <v>3</v>
      </c>
      <c r="D169" s="20">
        <v>4400.8810000000003</v>
      </c>
      <c r="E169" s="20">
        <v>490.16500000000002</v>
      </c>
      <c r="F169" s="20">
        <v>910.71600000000001</v>
      </c>
      <c r="G169" s="20">
        <v>3000</v>
      </c>
      <c r="H169" s="27">
        <v>3</v>
      </c>
      <c r="I169" s="20">
        <v>40.798999999999999</v>
      </c>
      <c r="J169" s="11" t="s">
        <v>170</v>
      </c>
      <c r="K169" s="11" t="s">
        <v>170</v>
      </c>
      <c r="L169" s="11"/>
      <c r="M169" s="18">
        <f t="shared" si="2"/>
        <v>4400.8810000000003</v>
      </c>
    </row>
    <row r="170" spans="1:13">
      <c r="A170" s="25" t="s">
        <v>73</v>
      </c>
      <c r="B170" s="25">
        <v>5</v>
      </c>
      <c r="C170" s="25">
        <v>4</v>
      </c>
      <c r="D170" s="20">
        <v>4364.67</v>
      </c>
      <c r="E170" s="20">
        <v>458.35899999999998</v>
      </c>
      <c r="F170" s="20">
        <v>906.31</v>
      </c>
      <c r="G170" s="20">
        <v>3000</v>
      </c>
      <c r="H170" s="27">
        <v>3</v>
      </c>
      <c r="I170" s="20">
        <v>46.976999999999997</v>
      </c>
      <c r="J170" s="11" t="s">
        <v>170</v>
      </c>
      <c r="K170" s="11" t="s">
        <v>170</v>
      </c>
      <c r="L170" s="11"/>
      <c r="M170" s="18">
        <f t="shared" si="2"/>
        <v>4364.67</v>
      </c>
    </row>
    <row r="171" spans="1:13">
      <c r="A171" s="25" t="s">
        <v>75</v>
      </c>
      <c r="B171" s="25">
        <v>1</v>
      </c>
      <c r="C171" s="25">
        <v>0</v>
      </c>
      <c r="D171" s="20">
        <v>5146.4290000000001</v>
      </c>
      <c r="E171" s="20">
        <v>1212.8689999999999</v>
      </c>
      <c r="F171" s="20">
        <v>933.55899999999997</v>
      </c>
      <c r="G171" s="20">
        <v>3000</v>
      </c>
      <c r="H171" s="27">
        <v>3</v>
      </c>
      <c r="I171" s="20">
        <v>45.945</v>
      </c>
      <c r="J171" s="11" t="s">
        <v>170</v>
      </c>
      <c r="K171" s="11" t="s">
        <v>170</v>
      </c>
      <c r="L171" s="11"/>
      <c r="M171" s="18">
        <f t="shared" si="2"/>
        <v>5146.4290000000001</v>
      </c>
    </row>
    <row r="172" spans="1:13">
      <c r="A172" s="25" t="s">
        <v>75</v>
      </c>
      <c r="B172" s="25">
        <v>2</v>
      </c>
      <c r="C172" s="25">
        <v>1</v>
      </c>
      <c r="D172" s="20">
        <v>5073.3329999999996</v>
      </c>
      <c r="E172" s="20">
        <v>1105.0350000000001</v>
      </c>
      <c r="F172" s="20">
        <v>968.298</v>
      </c>
      <c r="G172" s="20">
        <v>3000</v>
      </c>
      <c r="H172" s="27">
        <v>3</v>
      </c>
      <c r="I172" s="20">
        <v>45.993000000000002</v>
      </c>
      <c r="J172" s="11" t="s">
        <v>170</v>
      </c>
      <c r="K172" s="11" t="s">
        <v>170</v>
      </c>
      <c r="L172" s="11"/>
      <c r="M172" s="18">
        <f t="shared" si="2"/>
        <v>5073.3329999999996</v>
      </c>
    </row>
    <row r="173" spans="1:13">
      <c r="A173" s="25" t="s">
        <v>75</v>
      </c>
      <c r="B173" s="25">
        <v>3</v>
      </c>
      <c r="C173" s="25">
        <v>2</v>
      </c>
      <c r="D173" s="20">
        <v>5132.4790000000003</v>
      </c>
      <c r="E173" s="20">
        <v>1209.201</v>
      </c>
      <c r="F173" s="20">
        <v>923.27800000000002</v>
      </c>
      <c r="G173" s="20">
        <v>3000</v>
      </c>
      <c r="H173" s="27">
        <v>3</v>
      </c>
      <c r="I173" s="20">
        <v>45.899000000000001</v>
      </c>
      <c r="J173" s="11" t="s">
        <v>170</v>
      </c>
      <c r="K173" s="11" t="s">
        <v>170</v>
      </c>
      <c r="L173" s="11"/>
      <c r="M173" s="18">
        <f t="shared" si="2"/>
        <v>5132.4790000000003</v>
      </c>
    </row>
    <row r="174" spans="1:13">
      <c r="A174" s="25" t="s">
        <v>75</v>
      </c>
      <c r="B174" s="25">
        <v>4</v>
      </c>
      <c r="C174" s="25">
        <v>3</v>
      </c>
      <c r="D174" s="20">
        <v>5054.6419999999998</v>
      </c>
      <c r="E174" s="20">
        <v>1118.519</v>
      </c>
      <c r="F174" s="20">
        <v>936.12300000000005</v>
      </c>
      <c r="G174" s="20">
        <v>3000</v>
      </c>
      <c r="H174" s="27">
        <v>3</v>
      </c>
      <c r="I174" s="20">
        <v>45.710999999999999</v>
      </c>
      <c r="J174" s="11" t="s">
        <v>170</v>
      </c>
      <c r="K174" s="11" t="s">
        <v>170</v>
      </c>
      <c r="L174" s="11"/>
      <c r="M174" s="18">
        <f t="shared" si="2"/>
        <v>5054.6419999999998</v>
      </c>
    </row>
    <row r="175" spans="1:13">
      <c r="A175" s="25" t="s">
        <v>75</v>
      </c>
      <c r="B175" s="25">
        <v>5</v>
      </c>
      <c r="C175" s="25">
        <v>4</v>
      </c>
      <c r="D175" s="20">
        <v>5151.9369999999999</v>
      </c>
      <c r="E175" s="20">
        <v>1212.771</v>
      </c>
      <c r="F175" s="20">
        <v>939.16600000000005</v>
      </c>
      <c r="G175" s="20">
        <v>3000</v>
      </c>
      <c r="H175" s="27">
        <v>3</v>
      </c>
      <c r="I175" s="20">
        <v>45.911000000000001</v>
      </c>
      <c r="J175" s="11" t="s">
        <v>170</v>
      </c>
      <c r="K175" s="11" t="s">
        <v>170</v>
      </c>
      <c r="L175" s="11"/>
      <c r="M175" s="18">
        <f t="shared" si="2"/>
        <v>5151.9369999999999</v>
      </c>
    </row>
    <row r="176" spans="1:13">
      <c r="A176" s="25" t="s">
        <v>76</v>
      </c>
      <c r="B176" s="25">
        <v>1</v>
      </c>
      <c r="C176" s="25">
        <v>0</v>
      </c>
      <c r="D176" s="20">
        <v>6563.4160000000002</v>
      </c>
      <c r="E176" s="20">
        <v>1586.65</v>
      </c>
      <c r="F176" s="20">
        <v>976.76599999999996</v>
      </c>
      <c r="G176" s="20">
        <v>4000</v>
      </c>
      <c r="H176" s="27">
        <v>4</v>
      </c>
      <c r="I176" s="20">
        <v>45.454999999999998</v>
      </c>
      <c r="J176" s="11" t="s">
        <v>170</v>
      </c>
      <c r="K176" s="11" t="s">
        <v>170</v>
      </c>
      <c r="L176" s="11"/>
      <c r="M176" s="18">
        <f t="shared" si="2"/>
        <v>6563.4160000000002</v>
      </c>
    </row>
    <row r="177" spans="1:13">
      <c r="A177" s="25" t="s">
        <v>76</v>
      </c>
      <c r="B177" s="25">
        <v>2</v>
      </c>
      <c r="C177" s="25">
        <v>1</v>
      </c>
      <c r="D177" s="20">
        <v>8375.0810000000001</v>
      </c>
      <c r="E177" s="20">
        <v>1437.396</v>
      </c>
      <c r="F177" s="20">
        <v>937.68499999999995</v>
      </c>
      <c r="G177" s="20">
        <v>6000</v>
      </c>
      <c r="H177" s="27">
        <v>6</v>
      </c>
      <c r="I177" s="20">
        <v>45.417000000000002</v>
      </c>
      <c r="J177" s="11" t="s">
        <v>170</v>
      </c>
      <c r="K177" s="11" t="s">
        <v>170</v>
      </c>
      <c r="L177" s="11"/>
      <c r="M177" s="18">
        <f t="shared" si="2"/>
        <v>8375.0810000000001</v>
      </c>
    </row>
    <row r="178" spans="1:13">
      <c r="A178" s="25" t="s">
        <v>76</v>
      </c>
      <c r="B178" s="25">
        <v>3</v>
      </c>
      <c r="C178" s="25">
        <v>2</v>
      </c>
      <c r="D178" s="20">
        <v>6528.7929999999997</v>
      </c>
      <c r="E178" s="20">
        <v>1530.9259999999999</v>
      </c>
      <c r="F178" s="20">
        <v>997.86699999999996</v>
      </c>
      <c r="G178" s="20">
        <v>4000</v>
      </c>
      <c r="H178" s="27">
        <v>4</v>
      </c>
      <c r="I178" s="20">
        <v>44.838999999999999</v>
      </c>
      <c r="J178" s="11" t="s">
        <v>170</v>
      </c>
      <c r="K178" s="11" t="s">
        <v>170</v>
      </c>
      <c r="L178" s="11"/>
      <c r="M178" s="18">
        <f t="shared" si="2"/>
        <v>6528.7929999999997</v>
      </c>
    </row>
    <row r="179" spans="1:13">
      <c r="A179" s="25" t="s">
        <v>76</v>
      </c>
      <c r="B179" s="25">
        <v>4</v>
      </c>
      <c r="C179" s="25">
        <v>3</v>
      </c>
      <c r="D179" s="20">
        <v>6527.9830000000002</v>
      </c>
      <c r="E179" s="20">
        <v>1535.1479999999999</v>
      </c>
      <c r="F179" s="20">
        <v>992.83500000000004</v>
      </c>
      <c r="G179" s="20">
        <v>4000</v>
      </c>
      <c r="H179" s="27">
        <v>4</v>
      </c>
      <c r="I179" s="20">
        <v>44.387999999999998</v>
      </c>
      <c r="J179" s="11" t="s">
        <v>170</v>
      </c>
      <c r="K179" s="11" t="s">
        <v>170</v>
      </c>
      <c r="L179" s="11"/>
      <c r="M179" s="18">
        <f t="shared" si="2"/>
        <v>6527.9830000000002</v>
      </c>
    </row>
    <row r="180" spans="1:13">
      <c r="A180" s="25" t="s">
        <v>76</v>
      </c>
      <c r="B180" s="25">
        <v>5</v>
      </c>
      <c r="C180" s="25">
        <v>4</v>
      </c>
      <c r="D180" s="20">
        <v>6537.567</v>
      </c>
      <c r="E180" s="20">
        <v>1595.345</v>
      </c>
      <c r="F180" s="20">
        <v>942.22199999999998</v>
      </c>
      <c r="G180" s="20">
        <v>4000</v>
      </c>
      <c r="H180" s="27">
        <v>4</v>
      </c>
      <c r="I180" s="20">
        <v>45.387</v>
      </c>
      <c r="J180" s="11" t="s">
        <v>170</v>
      </c>
      <c r="K180" s="11" t="s">
        <v>170</v>
      </c>
      <c r="L180" s="11"/>
      <c r="M180" s="18">
        <f t="shared" si="2"/>
        <v>6537.567</v>
      </c>
    </row>
    <row r="181" spans="1:13">
      <c r="A181" s="25" t="s">
        <v>77</v>
      </c>
      <c r="B181" s="25">
        <v>1</v>
      </c>
      <c r="C181" s="25">
        <v>0</v>
      </c>
      <c r="D181" s="20">
        <v>10996.136</v>
      </c>
      <c r="E181" s="20">
        <v>30.97</v>
      </c>
      <c r="F181" s="20">
        <v>965.16600000000005</v>
      </c>
      <c r="G181" s="20">
        <v>10000</v>
      </c>
      <c r="H181" s="27">
        <v>10</v>
      </c>
      <c r="I181" s="20">
        <v>38.777999999999999</v>
      </c>
      <c r="J181" s="11" t="s">
        <v>170</v>
      </c>
      <c r="K181" s="11" t="s">
        <v>170</v>
      </c>
      <c r="L181" s="11"/>
      <c r="M181" s="18">
        <f t="shared" si="2"/>
        <v>10996.136</v>
      </c>
    </row>
    <row r="182" spans="1:13">
      <c r="A182" s="25" t="s">
        <v>77</v>
      </c>
      <c r="B182" s="25">
        <v>2</v>
      </c>
      <c r="C182" s="25">
        <v>1</v>
      </c>
      <c r="D182" s="20">
        <v>14812.050999999999</v>
      </c>
      <c r="E182" s="20">
        <v>20.800999999999998</v>
      </c>
      <c r="F182" s="20">
        <v>791.25</v>
      </c>
      <c r="G182" s="20">
        <v>14000</v>
      </c>
      <c r="H182" s="27">
        <v>14</v>
      </c>
      <c r="I182" s="20">
        <v>40.182000000000002</v>
      </c>
      <c r="J182" s="11" t="s">
        <v>170</v>
      </c>
      <c r="K182" s="11" t="s">
        <v>170</v>
      </c>
      <c r="L182" s="11"/>
      <c r="M182" s="18">
        <f t="shared" si="2"/>
        <v>14812.050999999999</v>
      </c>
    </row>
    <row r="183" spans="1:13">
      <c r="A183" s="25" t="s">
        <v>77</v>
      </c>
      <c r="B183" s="25">
        <v>3</v>
      </c>
      <c r="C183" s="25">
        <v>2</v>
      </c>
      <c r="D183" s="20">
        <v>10012.684999999999</v>
      </c>
      <c r="E183" s="20">
        <v>30.97</v>
      </c>
      <c r="F183" s="20">
        <v>981.71500000000003</v>
      </c>
      <c r="G183" s="20">
        <v>9000</v>
      </c>
      <c r="H183" s="27">
        <v>9</v>
      </c>
      <c r="I183" s="20">
        <v>43.122999999999998</v>
      </c>
      <c r="J183" s="11" t="s">
        <v>170</v>
      </c>
      <c r="K183" s="11" t="s">
        <v>170</v>
      </c>
      <c r="L183" s="11"/>
      <c r="M183" s="18">
        <f t="shared" si="2"/>
        <v>10012.684999999999</v>
      </c>
    </row>
    <row r="184" spans="1:13">
      <c r="A184" s="25" t="s">
        <v>77</v>
      </c>
      <c r="B184" s="25">
        <v>4</v>
      </c>
      <c r="C184" s="25">
        <v>3</v>
      </c>
      <c r="D184" s="20">
        <v>18844.583999999999</v>
      </c>
      <c r="E184" s="20">
        <v>20.800999999999998</v>
      </c>
      <c r="F184" s="20">
        <v>823.78200000000004</v>
      </c>
      <c r="G184" s="20">
        <v>18000</v>
      </c>
      <c r="H184" s="27">
        <v>18</v>
      </c>
      <c r="I184" s="20">
        <v>41.106000000000002</v>
      </c>
      <c r="J184" s="11" t="s">
        <v>170</v>
      </c>
      <c r="K184" s="11" t="s">
        <v>170</v>
      </c>
      <c r="L184" s="11"/>
      <c r="M184" s="18">
        <f t="shared" si="2"/>
        <v>18844.583999999999</v>
      </c>
    </row>
    <row r="185" spans="1:13">
      <c r="A185" s="25" t="s">
        <v>77</v>
      </c>
      <c r="B185" s="25">
        <v>5</v>
      </c>
      <c r="C185" s="25">
        <v>4</v>
      </c>
      <c r="D185" s="20">
        <v>9948.3009999999995</v>
      </c>
      <c r="E185" s="20">
        <v>20.800999999999998</v>
      </c>
      <c r="F185" s="20">
        <v>927.5</v>
      </c>
      <c r="G185" s="20">
        <v>9000</v>
      </c>
      <c r="H185" s="27">
        <v>9</v>
      </c>
      <c r="I185" s="20">
        <v>43.789000000000001</v>
      </c>
      <c r="J185" s="11" t="s">
        <v>170</v>
      </c>
      <c r="K185" s="11" t="s">
        <v>170</v>
      </c>
      <c r="L185" s="11"/>
      <c r="M185" s="18">
        <f t="shared" si="2"/>
        <v>9948.3009999999995</v>
      </c>
    </row>
    <row r="186" spans="1:13">
      <c r="A186" s="25" t="s">
        <v>79</v>
      </c>
      <c r="B186" s="25">
        <v>1</v>
      </c>
      <c r="C186" s="25">
        <v>0</v>
      </c>
      <c r="D186" s="20">
        <v>13208.536</v>
      </c>
      <c r="E186" s="20">
        <v>325.46199999999999</v>
      </c>
      <c r="F186" s="20">
        <v>883.07399999999996</v>
      </c>
      <c r="G186" s="20">
        <v>12000</v>
      </c>
      <c r="H186" s="27">
        <v>12</v>
      </c>
      <c r="I186" s="20">
        <v>42.912999999999997</v>
      </c>
      <c r="J186" s="11" t="s">
        <v>170</v>
      </c>
      <c r="K186" s="11" t="s">
        <v>170</v>
      </c>
      <c r="L186" s="11"/>
      <c r="M186" s="18">
        <f t="shared" si="2"/>
        <v>13208.536</v>
      </c>
    </row>
    <row r="187" spans="1:13">
      <c r="A187" s="25" t="s">
        <v>79</v>
      </c>
      <c r="B187" s="25">
        <v>2</v>
      </c>
      <c r="C187" s="25">
        <v>1</v>
      </c>
      <c r="D187" s="20">
        <v>10312.642</v>
      </c>
      <c r="E187" s="20">
        <v>350.822</v>
      </c>
      <c r="F187" s="20">
        <v>961.82</v>
      </c>
      <c r="G187" s="20">
        <v>9000</v>
      </c>
      <c r="H187" s="27">
        <v>9</v>
      </c>
      <c r="I187" s="20">
        <v>44.015999999999998</v>
      </c>
      <c r="J187" s="11" t="s">
        <v>170</v>
      </c>
      <c r="K187" s="11" t="s">
        <v>170</v>
      </c>
      <c r="L187" s="11"/>
      <c r="M187" s="18">
        <f t="shared" si="2"/>
        <v>10312.642</v>
      </c>
    </row>
    <row r="188" spans="1:13">
      <c r="A188" s="25" t="s">
        <v>79</v>
      </c>
      <c r="B188" s="25">
        <v>3</v>
      </c>
      <c r="C188" s="25">
        <v>2</v>
      </c>
      <c r="D188" s="20">
        <v>10235.616</v>
      </c>
      <c r="E188" s="20">
        <v>264.65600000000001</v>
      </c>
      <c r="F188" s="20">
        <v>970.96</v>
      </c>
      <c r="G188" s="20">
        <v>9000</v>
      </c>
      <c r="H188" s="27">
        <v>9</v>
      </c>
      <c r="I188" s="20">
        <v>42.637999999999998</v>
      </c>
      <c r="J188" s="11" t="s">
        <v>170</v>
      </c>
      <c r="K188" s="11" t="s">
        <v>170</v>
      </c>
      <c r="L188" s="11"/>
      <c r="M188" s="18">
        <f t="shared" si="2"/>
        <v>10235.616</v>
      </c>
    </row>
    <row r="189" spans="1:13">
      <c r="A189" s="25" t="s">
        <v>79</v>
      </c>
      <c r="B189" s="25">
        <v>4</v>
      </c>
      <c r="C189" s="25">
        <v>3</v>
      </c>
      <c r="D189" s="20">
        <v>11292.526</v>
      </c>
      <c r="E189" s="20">
        <v>285.09899999999999</v>
      </c>
      <c r="F189" s="20">
        <v>1007.427</v>
      </c>
      <c r="G189" s="20">
        <v>10000</v>
      </c>
      <c r="H189" s="27">
        <v>10</v>
      </c>
      <c r="I189" s="20">
        <v>44.372999999999998</v>
      </c>
      <c r="J189" s="11" t="s">
        <v>170</v>
      </c>
      <c r="K189" s="11" t="s">
        <v>170</v>
      </c>
      <c r="L189" s="11"/>
      <c r="M189" s="18">
        <f t="shared" si="2"/>
        <v>11292.526</v>
      </c>
    </row>
    <row r="190" spans="1:13">
      <c r="A190" s="25" t="s">
        <v>79</v>
      </c>
      <c r="B190" s="25">
        <v>5</v>
      </c>
      <c r="C190" s="25">
        <v>4</v>
      </c>
      <c r="D190" s="20">
        <v>10303.213</v>
      </c>
      <c r="E190" s="20">
        <v>336.69900000000001</v>
      </c>
      <c r="F190" s="20">
        <v>966.51300000000003</v>
      </c>
      <c r="G190" s="20">
        <v>9000</v>
      </c>
      <c r="H190" s="27">
        <v>9</v>
      </c>
      <c r="I190" s="20">
        <v>42.466999999999999</v>
      </c>
      <c r="J190" s="11" t="s">
        <v>170</v>
      </c>
      <c r="K190" s="11" t="s">
        <v>170</v>
      </c>
      <c r="L190" s="11"/>
      <c r="M190" s="18">
        <f t="shared" si="2"/>
        <v>10303.213</v>
      </c>
    </row>
    <row r="191" spans="1:13">
      <c r="A191" s="25" t="s">
        <v>81</v>
      </c>
      <c r="B191" s="25">
        <v>1</v>
      </c>
      <c r="C191" s="25">
        <v>0</v>
      </c>
      <c r="D191" s="20">
        <v>11569.242</v>
      </c>
      <c r="E191" s="20">
        <v>517.053</v>
      </c>
      <c r="F191" s="20">
        <v>1052.19</v>
      </c>
      <c r="G191" s="20">
        <v>10000</v>
      </c>
      <c r="H191" s="27">
        <v>10</v>
      </c>
      <c r="I191" s="20">
        <v>38.302999999999997</v>
      </c>
      <c r="J191" s="11" t="s">
        <v>170</v>
      </c>
      <c r="K191" s="11" t="s">
        <v>170</v>
      </c>
      <c r="L191" s="11"/>
      <c r="M191" s="18">
        <f t="shared" si="2"/>
        <v>11569.242</v>
      </c>
    </row>
    <row r="192" spans="1:13">
      <c r="A192" s="25" t="s">
        <v>81</v>
      </c>
      <c r="B192" s="25">
        <v>2</v>
      </c>
      <c r="C192" s="25">
        <v>1</v>
      </c>
      <c r="D192" s="20">
        <v>8832.9369999999999</v>
      </c>
      <c r="E192" s="20">
        <v>824.81100000000004</v>
      </c>
      <c r="F192" s="20">
        <v>1008.126</v>
      </c>
      <c r="G192" s="20">
        <v>7000</v>
      </c>
      <c r="H192" s="27">
        <v>7</v>
      </c>
      <c r="I192" s="20">
        <v>31.413</v>
      </c>
      <c r="J192" s="11" t="s">
        <v>170</v>
      </c>
      <c r="K192" s="11" t="s">
        <v>170</v>
      </c>
      <c r="L192" s="11"/>
      <c r="M192" s="18">
        <f t="shared" si="2"/>
        <v>8832.9369999999999</v>
      </c>
    </row>
    <row r="193" spans="1:13">
      <c r="A193" s="25" t="s">
        <v>81</v>
      </c>
      <c r="B193" s="25">
        <v>3</v>
      </c>
      <c r="C193" s="25">
        <v>2</v>
      </c>
      <c r="D193" s="20">
        <v>11555.415999999999</v>
      </c>
      <c r="E193" s="20">
        <v>534.21</v>
      </c>
      <c r="F193" s="20">
        <v>1021.206</v>
      </c>
      <c r="G193" s="20">
        <v>10000</v>
      </c>
      <c r="H193" s="27">
        <v>10</v>
      </c>
      <c r="I193" s="20">
        <v>39.456000000000003</v>
      </c>
      <c r="J193" s="11" t="s">
        <v>170</v>
      </c>
      <c r="K193" s="11" t="s">
        <v>170</v>
      </c>
      <c r="L193" s="11"/>
      <c r="M193" s="18">
        <f t="shared" si="2"/>
        <v>11555.415999999999</v>
      </c>
    </row>
    <row r="194" spans="1:13">
      <c r="A194" s="25" t="s">
        <v>81</v>
      </c>
      <c r="B194" s="25">
        <v>4</v>
      </c>
      <c r="C194" s="25">
        <v>3</v>
      </c>
      <c r="D194" s="20">
        <v>8618.7530000000006</v>
      </c>
      <c r="E194" s="20">
        <v>606.90800000000002</v>
      </c>
      <c r="F194" s="20">
        <v>1011.845</v>
      </c>
      <c r="G194" s="20">
        <v>7000</v>
      </c>
      <c r="H194" s="27">
        <v>7</v>
      </c>
      <c r="I194" s="20">
        <v>43.478999999999999</v>
      </c>
      <c r="J194" s="11" t="s">
        <v>170</v>
      </c>
      <c r="K194" s="11" t="s">
        <v>170</v>
      </c>
      <c r="L194" s="11"/>
      <c r="M194" s="18">
        <f t="shared" si="2"/>
        <v>8618.7530000000006</v>
      </c>
    </row>
    <row r="195" spans="1:13">
      <c r="A195" s="25" t="s">
        <v>81</v>
      </c>
      <c r="B195" s="25">
        <v>5</v>
      </c>
      <c r="C195" s="25">
        <v>4</v>
      </c>
      <c r="D195" s="20">
        <v>8696.9060000000009</v>
      </c>
      <c r="E195" s="20">
        <v>667.04300000000001</v>
      </c>
      <c r="F195" s="20">
        <v>1029.8630000000001</v>
      </c>
      <c r="G195" s="20">
        <v>7000</v>
      </c>
      <c r="H195" s="27">
        <v>7</v>
      </c>
      <c r="I195" s="20">
        <v>43.08</v>
      </c>
      <c r="J195" s="11" t="s">
        <v>170</v>
      </c>
      <c r="K195" s="11" t="s">
        <v>170</v>
      </c>
      <c r="L195" s="11"/>
      <c r="M195" s="18">
        <f t="shared" si="2"/>
        <v>8696.9060000000009</v>
      </c>
    </row>
    <row r="196" spans="1:13">
      <c r="A196" s="25" t="s">
        <v>83</v>
      </c>
      <c r="B196" s="25">
        <v>1</v>
      </c>
      <c r="C196" s="25">
        <v>0</v>
      </c>
      <c r="D196" s="20">
        <v>11804.501</v>
      </c>
      <c r="E196" s="20">
        <v>759.12599999999998</v>
      </c>
      <c r="F196" s="20">
        <v>1045.374</v>
      </c>
      <c r="G196" s="20">
        <v>10000</v>
      </c>
      <c r="H196" s="27">
        <v>10</v>
      </c>
      <c r="I196" s="20">
        <v>39.42</v>
      </c>
      <c r="J196" s="11" t="s">
        <v>170</v>
      </c>
      <c r="K196" s="11" t="s">
        <v>170</v>
      </c>
      <c r="L196" s="11"/>
      <c r="M196" s="18">
        <f t="shared" si="2"/>
        <v>11804.501</v>
      </c>
    </row>
    <row r="197" spans="1:13">
      <c r="A197" s="25" t="s">
        <v>83</v>
      </c>
      <c r="B197" s="25">
        <v>2</v>
      </c>
      <c r="C197" s="25">
        <v>1</v>
      </c>
      <c r="D197" s="20">
        <v>11805.59</v>
      </c>
      <c r="E197" s="20">
        <v>841.76400000000001</v>
      </c>
      <c r="F197" s="20">
        <v>963.827</v>
      </c>
      <c r="G197" s="20">
        <v>10000</v>
      </c>
      <c r="H197" s="27">
        <v>10</v>
      </c>
      <c r="I197" s="20">
        <v>42.698</v>
      </c>
      <c r="J197" s="11" t="s">
        <v>170</v>
      </c>
      <c r="K197" s="11" t="s">
        <v>170</v>
      </c>
      <c r="L197" s="11"/>
      <c r="M197" s="18">
        <f t="shared" si="2"/>
        <v>11805.59</v>
      </c>
    </row>
    <row r="198" spans="1:13">
      <c r="A198" s="25" t="s">
        <v>83</v>
      </c>
      <c r="B198" s="25">
        <v>3</v>
      </c>
      <c r="C198" s="25">
        <v>2</v>
      </c>
      <c r="D198" s="20">
        <v>9174.9509999999991</v>
      </c>
      <c r="E198" s="20">
        <v>1186.5540000000001</v>
      </c>
      <c r="F198" s="20">
        <v>988.39700000000005</v>
      </c>
      <c r="G198" s="20">
        <v>7000</v>
      </c>
      <c r="H198" s="27">
        <v>7</v>
      </c>
      <c r="I198" s="20">
        <v>43.594000000000001</v>
      </c>
      <c r="J198" s="11" t="s">
        <v>170</v>
      </c>
      <c r="K198" s="11" t="s">
        <v>170</v>
      </c>
      <c r="L198" s="11"/>
      <c r="M198" s="18">
        <f t="shared" ref="M198:M261" si="3">IF(AND(J198="Yes",K198="Yes",ISNUMBER(D198)),D198,"")</f>
        <v>9174.9509999999991</v>
      </c>
    </row>
    <row r="199" spans="1:13">
      <c r="A199" s="25" t="s">
        <v>83</v>
      </c>
      <c r="B199" s="25">
        <v>4</v>
      </c>
      <c r="C199" s="25">
        <v>3</v>
      </c>
      <c r="D199" s="20">
        <v>9181.7659999999996</v>
      </c>
      <c r="E199" s="20">
        <v>1256.3789999999999</v>
      </c>
      <c r="F199" s="20">
        <v>925.38699999999994</v>
      </c>
      <c r="G199" s="20">
        <v>7000</v>
      </c>
      <c r="H199" s="27">
        <v>7</v>
      </c>
      <c r="I199" s="20">
        <v>44.212000000000003</v>
      </c>
      <c r="J199" s="11" t="s">
        <v>170</v>
      </c>
      <c r="K199" s="11" t="s">
        <v>170</v>
      </c>
      <c r="L199" s="11"/>
      <c r="M199" s="18">
        <f t="shared" si="3"/>
        <v>9181.7659999999996</v>
      </c>
    </row>
    <row r="200" spans="1:13">
      <c r="A200" s="25" t="s">
        <v>83</v>
      </c>
      <c r="B200" s="25">
        <v>5</v>
      </c>
      <c r="C200" s="25">
        <v>4</v>
      </c>
      <c r="D200" s="20">
        <v>11963.048000000001</v>
      </c>
      <c r="E200" s="20">
        <v>988.69200000000001</v>
      </c>
      <c r="F200" s="20">
        <v>974.35599999999999</v>
      </c>
      <c r="G200" s="20">
        <v>10000</v>
      </c>
      <c r="H200" s="27">
        <v>10</v>
      </c>
      <c r="I200" s="20">
        <v>42.73</v>
      </c>
      <c r="J200" s="11" t="s">
        <v>170</v>
      </c>
      <c r="K200" s="11" t="s">
        <v>170</v>
      </c>
      <c r="L200" s="11"/>
      <c r="M200" s="18">
        <f t="shared" si="3"/>
        <v>11963.048000000001</v>
      </c>
    </row>
    <row r="201" spans="1:13">
      <c r="A201" s="25" t="s">
        <v>84</v>
      </c>
      <c r="B201" s="25">
        <v>1</v>
      </c>
      <c r="C201" s="25">
        <v>0</v>
      </c>
      <c r="D201" s="20">
        <v>15032.331</v>
      </c>
      <c r="E201" s="20">
        <v>1175.0920000000001</v>
      </c>
      <c r="F201" s="20">
        <v>857.23900000000003</v>
      </c>
      <c r="G201" s="20">
        <v>13000</v>
      </c>
      <c r="H201" s="27">
        <v>13</v>
      </c>
      <c r="I201" s="20">
        <v>41.860999999999997</v>
      </c>
      <c r="J201" s="11" t="s">
        <v>170</v>
      </c>
      <c r="K201" s="11" t="s">
        <v>170</v>
      </c>
      <c r="L201" s="11"/>
      <c r="M201" s="18">
        <f>IF(AND(J201="Yes",K201="Yes",ISNUMBER(D201)),D201,"")</f>
        <v>15032.331</v>
      </c>
    </row>
    <row r="202" spans="1:13">
      <c r="A202" s="25" t="s">
        <v>84</v>
      </c>
      <c r="B202" s="25">
        <v>2</v>
      </c>
      <c r="C202" s="25">
        <v>1</v>
      </c>
      <c r="D202" s="20">
        <v>12270.762000000001</v>
      </c>
      <c r="E202" s="20">
        <v>1350.8869999999999</v>
      </c>
      <c r="F202" s="20">
        <v>919.875</v>
      </c>
      <c r="G202" s="20">
        <v>10000</v>
      </c>
      <c r="H202" s="27">
        <v>10</v>
      </c>
      <c r="I202" s="20">
        <v>41.786999999999999</v>
      </c>
      <c r="J202" s="11" t="s">
        <v>170</v>
      </c>
      <c r="K202" s="11" t="s">
        <v>170</v>
      </c>
      <c r="L202" s="11"/>
      <c r="M202" s="18">
        <f t="shared" si="3"/>
        <v>12270.762000000001</v>
      </c>
    </row>
    <row r="203" spans="1:13">
      <c r="A203" s="25" t="s">
        <v>84</v>
      </c>
      <c r="B203" s="25">
        <v>3</v>
      </c>
      <c r="C203" s="25">
        <v>2</v>
      </c>
      <c r="D203" s="20">
        <v>14413.896000000001</v>
      </c>
      <c r="E203" s="20">
        <v>1512.0160000000001</v>
      </c>
      <c r="F203" s="20">
        <v>901.88</v>
      </c>
      <c r="G203" s="20">
        <v>12000</v>
      </c>
      <c r="H203" s="27">
        <v>12</v>
      </c>
      <c r="I203" s="20">
        <v>45.432000000000002</v>
      </c>
      <c r="J203" s="11" t="s">
        <v>170</v>
      </c>
      <c r="K203" s="11" t="s">
        <v>170</v>
      </c>
      <c r="L203" s="11"/>
      <c r="M203" s="18">
        <f t="shared" si="3"/>
        <v>14413.896000000001</v>
      </c>
    </row>
    <row r="204" spans="1:13">
      <c r="A204" s="25" t="s">
        <v>84</v>
      </c>
      <c r="B204" s="25">
        <v>4</v>
      </c>
      <c r="C204" s="25">
        <v>3</v>
      </c>
      <c r="D204" s="20">
        <v>15147.43</v>
      </c>
      <c r="E204" s="20">
        <v>1212.587</v>
      </c>
      <c r="F204" s="20">
        <v>934.84199999999998</v>
      </c>
      <c r="G204" s="20">
        <v>13000</v>
      </c>
      <c r="H204" s="27">
        <v>13</v>
      </c>
      <c r="I204" s="20">
        <v>42.591999999999999</v>
      </c>
      <c r="J204" s="11" t="s">
        <v>170</v>
      </c>
      <c r="K204" s="11" t="s">
        <v>170</v>
      </c>
      <c r="L204" s="11"/>
      <c r="M204" s="18">
        <f t="shared" si="3"/>
        <v>15147.43</v>
      </c>
    </row>
    <row r="205" spans="1:13">
      <c r="A205" s="25" t="s">
        <v>84</v>
      </c>
      <c r="B205" s="25">
        <v>5</v>
      </c>
      <c r="C205" s="25">
        <v>4</v>
      </c>
      <c r="D205" s="20">
        <v>13411.262000000001</v>
      </c>
      <c r="E205" s="20">
        <v>1513.027</v>
      </c>
      <c r="F205" s="20">
        <v>898.23500000000001</v>
      </c>
      <c r="G205" s="20">
        <v>11000</v>
      </c>
      <c r="H205" s="27">
        <v>11</v>
      </c>
      <c r="I205" s="20">
        <v>42.904000000000003</v>
      </c>
      <c r="J205" s="11" t="s">
        <v>170</v>
      </c>
      <c r="K205" s="11" t="s">
        <v>170</v>
      </c>
      <c r="L205" s="11"/>
      <c r="M205" s="18">
        <f t="shared" si="3"/>
        <v>13411.262000000001</v>
      </c>
    </row>
    <row r="206" spans="1:13">
      <c r="A206" s="25" t="s">
        <v>85</v>
      </c>
      <c r="B206" s="25">
        <v>1</v>
      </c>
      <c r="C206" s="25">
        <v>0</v>
      </c>
      <c r="D206" s="20">
        <v>11804.633</v>
      </c>
      <c r="E206" s="20">
        <v>28.503</v>
      </c>
      <c r="F206" s="20">
        <v>776.13</v>
      </c>
      <c r="G206" s="20">
        <v>11000</v>
      </c>
      <c r="H206" s="27">
        <v>11</v>
      </c>
      <c r="I206" s="20">
        <v>40.954999999999998</v>
      </c>
      <c r="J206" s="11" t="s">
        <v>170</v>
      </c>
      <c r="K206" s="11" t="s">
        <v>170</v>
      </c>
      <c r="L206" s="11"/>
      <c r="M206" s="18">
        <f t="shared" si="3"/>
        <v>11804.633</v>
      </c>
    </row>
    <row r="207" spans="1:13">
      <c r="A207" s="25" t="s">
        <v>85</v>
      </c>
      <c r="B207" s="25">
        <v>2</v>
      </c>
      <c r="C207" s="25">
        <v>1</v>
      </c>
      <c r="D207" s="20">
        <v>11763.967000000001</v>
      </c>
      <c r="E207" s="20">
        <v>19.888000000000002</v>
      </c>
      <c r="F207" s="20">
        <v>744.07899999999995</v>
      </c>
      <c r="G207" s="20">
        <v>11000</v>
      </c>
      <c r="H207" s="27">
        <v>11</v>
      </c>
      <c r="I207" s="20">
        <v>40.835999999999999</v>
      </c>
      <c r="J207" s="11" t="s">
        <v>170</v>
      </c>
      <c r="K207" s="11" t="s">
        <v>170</v>
      </c>
      <c r="L207" s="11"/>
      <c r="M207" s="18">
        <f t="shared" si="3"/>
        <v>11763.967000000001</v>
      </c>
    </row>
    <row r="208" spans="1:13">
      <c r="A208" s="25" t="s">
        <v>85</v>
      </c>
      <c r="B208" s="25">
        <v>3</v>
      </c>
      <c r="C208" s="25">
        <v>2</v>
      </c>
      <c r="D208" s="20">
        <v>11781.391</v>
      </c>
      <c r="E208" s="20">
        <v>18.067</v>
      </c>
      <c r="F208" s="20">
        <v>763.32399999999996</v>
      </c>
      <c r="G208" s="20">
        <v>11000</v>
      </c>
      <c r="H208" s="27">
        <v>11</v>
      </c>
      <c r="I208" s="20">
        <v>41.323999999999998</v>
      </c>
      <c r="J208" s="11" t="s">
        <v>170</v>
      </c>
      <c r="K208" s="11" t="s">
        <v>170</v>
      </c>
      <c r="L208" s="11"/>
      <c r="M208" s="18">
        <f t="shared" si="3"/>
        <v>11781.391</v>
      </c>
    </row>
    <row r="209" spans="1:13">
      <c r="A209" s="25" t="s">
        <v>85</v>
      </c>
      <c r="B209" s="25">
        <v>4</v>
      </c>
      <c r="C209" s="25">
        <v>3</v>
      </c>
      <c r="D209" s="20">
        <v>11841.269</v>
      </c>
      <c r="E209" s="20">
        <v>32</v>
      </c>
      <c r="F209" s="20">
        <v>809.26900000000001</v>
      </c>
      <c r="G209" s="20">
        <v>11000</v>
      </c>
      <c r="H209" s="27">
        <v>11</v>
      </c>
      <c r="I209" s="20">
        <v>40.765999999999998</v>
      </c>
      <c r="J209" s="11" t="s">
        <v>170</v>
      </c>
      <c r="K209" s="11" t="s">
        <v>170</v>
      </c>
      <c r="L209" s="11"/>
      <c r="M209" s="18">
        <f t="shared" si="3"/>
        <v>11841.269</v>
      </c>
    </row>
    <row r="210" spans="1:13">
      <c r="A210" s="25" t="s">
        <v>85</v>
      </c>
      <c r="B210" s="25">
        <v>5</v>
      </c>
      <c r="C210" s="25">
        <v>4</v>
      </c>
      <c r="D210" s="20">
        <v>11809.626</v>
      </c>
      <c r="E210" s="20">
        <v>26.593</v>
      </c>
      <c r="F210" s="20">
        <v>783.03300000000002</v>
      </c>
      <c r="G210" s="20">
        <v>11000</v>
      </c>
      <c r="H210" s="27">
        <v>11</v>
      </c>
      <c r="I210" s="20">
        <v>39.558999999999997</v>
      </c>
      <c r="J210" s="11" t="s">
        <v>170</v>
      </c>
      <c r="K210" s="11" t="s">
        <v>170</v>
      </c>
      <c r="L210" s="11"/>
      <c r="M210" s="18">
        <f t="shared" si="3"/>
        <v>11809.626</v>
      </c>
    </row>
    <row r="211" spans="1:13">
      <c r="A211" s="25" t="s">
        <v>86</v>
      </c>
      <c r="B211" s="25">
        <v>1</v>
      </c>
      <c r="C211" s="25">
        <v>0</v>
      </c>
      <c r="D211" s="20">
        <v>11851.342000000001</v>
      </c>
      <c r="E211" s="20">
        <v>42.125999999999998</v>
      </c>
      <c r="F211" s="20">
        <v>809.21600000000001</v>
      </c>
      <c r="G211" s="20">
        <v>11000</v>
      </c>
      <c r="H211" s="27">
        <v>11</v>
      </c>
      <c r="I211" s="20">
        <v>41.649000000000001</v>
      </c>
      <c r="J211" s="11" t="s">
        <v>170</v>
      </c>
      <c r="K211" s="11" t="s">
        <v>170</v>
      </c>
      <c r="L211" s="11"/>
      <c r="M211" s="18">
        <f t="shared" si="3"/>
        <v>11851.342000000001</v>
      </c>
    </row>
    <row r="212" spans="1:13">
      <c r="A212" s="25" t="s">
        <v>86</v>
      </c>
      <c r="B212" s="25">
        <v>2</v>
      </c>
      <c r="C212" s="25">
        <v>1</v>
      </c>
      <c r="D212" s="20">
        <v>9057.1190000000006</v>
      </c>
      <c r="E212" s="20">
        <v>255.66399999999999</v>
      </c>
      <c r="F212" s="20">
        <v>801.45500000000004</v>
      </c>
      <c r="G212" s="20">
        <v>8000</v>
      </c>
      <c r="H212" s="27">
        <v>8</v>
      </c>
      <c r="I212" s="20">
        <v>37.698</v>
      </c>
      <c r="J212" s="11" t="s">
        <v>170</v>
      </c>
      <c r="K212" s="11" t="s">
        <v>170</v>
      </c>
      <c r="L212" s="11"/>
      <c r="M212" s="18">
        <f t="shared" si="3"/>
        <v>9057.1190000000006</v>
      </c>
    </row>
    <row r="213" spans="1:13">
      <c r="A213" s="25" t="s">
        <v>86</v>
      </c>
      <c r="B213" s="25">
        <v>3</v>
      </c>
      <c r="C213" s="25">
        <v>2</v>
      </c>
      <c r="D213" s="20">
        <v>11801.364</v>
      </c>
      <c r="E213" s="20">
        <v>37.313000000000002</v>
      </c>
      <c r="F213" s="20">
        <v>764.05100000000004</v>
      </c>
      <c r="G213" s="20">
        <v>11000</v>
      </c>
      <c r="H213" s="27">
        <v>11</v>
      </c>
      <c r="I213" s="20">
        <v>40.215000000000003</v>
      </c>
      <c r="J213" s="11" t="s">
        <v>170</v>
      </c>
      <c r="K213" s="11" t="s">
        <v>170</v>
      </c>
      <c r="L213" s="11"/>
      <c r="M213" s="18">
        <f t="shared" si="3"/>
        <v>11801.364</v>
      </c>
    </row>
    <row r="214" spans="1:13">
      <c r="A214" s="25" t="s">
        <v>86</v>
      </c>
      <c r="B214" s="25">
        <v>4</v>
      </c>
      <c r="C214" s="25">
        <v>3</v>
      </c>
      <c r="D214" s="20">
        <v>11775.558000000001</v>
      </c>
      <c r="E214" s="20">
        <v>19.888000000000002</v>
      </c>
      <c r="F214" s="20">
        <v>755.67</v>
      </c>
      <c r="G214" s="20">
        <v>11000</v>
      </c>
      <c r="H214" s="27">
        <v>11</v>
      </c>
      <c r="I214" s="20">
        <v>40.213000000000001</v>
      </c>
      <c r="J214" s="11" t="s">
        <v>170</v>
      </c>
      <c r="K214" s="11" t="s">
        <v>170</v>
      </c>
      <c r="L214" s="11"/>
      <c r="M214" s="18">
        <f t="shared" si="3"/>
        <v>11775.558000000001</v>
      </c>
    </row>
    <row r="215" spans="1:13">
      <c r="A215" s="25" t="s">
        <v>86</v>
      </c>
      <c r="B215" s="25">
        <v>5</v>
      </c>
      <c r="C215" s="25">
        <v>4</v>
      </c>
      <c r="D215" s="20">
        <v>11829.977000000001</v>
      </c>
      <c r="E215" s="20">
        <v>15.170999999999999</v>
      </c>
      <c r="F215" s="20">
        <v>814.80600000000004</v>
      </c>
      <c r="G215" s="20">
        <v>11000</v>
      </c>
      <c r="H215" s="27">
        <v>11</v>
      </c>
      <c r="I215" s="20">
        <v>41.28</v>
      </c>
      <c r="J215" s="11" t="s">
        <v>170</v>
      </c>
      <c r="K215" s="11" t="s">
        <v>170</v>
      </c>
      <c r="L215" s="11"/>
      <c r="M215" s="18">
        <f t="shared" si="3"/>
        <v>11829.977000000001</v>
      </c>
    </row>
    <row r="216" spans="1:13">
      <c r="A216" s="25" t="s">
        <v>88</v>
      </c>
      <c r="B216" s="25">
        <v>1</v>
      </c>
      <c r="C216" s="25">
        <v>0</v>
      </c>
      <c r="D216" s="20">
        <v>9446.7749999999996</v>
      </c>
      <c r="E216" s="20">
        <v>601.10299999999995</v>
      </c>
      <c r="F216" s="20">
        <v>845.67100000000005</v>
      </c>
      <c r="G216" s="20">
        <v>8000</v>
      </c>
      <c r="H216" s="27">
        <v>8</v>
      </c>
      <c r="I216" s="20">
        <v>44.268999999999998</v>
      </c>
      <c r="J216" s="11" t="s">
        <v>170</v>
      </c>
      <c r="K216" s="11" t="s">
        <v>170</v>
      </c>
      <c r="L216" s="11"/>
      <c r="M216" s="18">
        <f t="shared" si="3"/>
        <v>9446.7749999999996</v>
      </c>
    </row>
    <row r="217" spans="1:13">
      <c r="A217" s="25" t="s">
        <v>88</v>
      </c>
      <c r="B217" s="25">
        <v>2</v>
      </c>
      <c r="C217" s="25">
        <v>1</v>
      </c>
      <c r="D217" s="20">
        <v>12108.254000000001</v>
      </c>
      <c r="E217" s="20">
        <v>270.94</v>
      </c>
      <c r="F217" s="20">
        <v>837.31399999999996</v>
      </c>
      <c r="G217" s="20">
        <v>11000</v>
      </c>
      <c r="H217" s="27">
        <v>11</v>
      </c>
      <c r="I217" s="20">
        <v>43.499000000000002</v>
      </c>
      <c r="J217" s="11" t="s">
        <v>170</v>
      </c>
      <c r="K217" s="11" t="s">
        <v>170</v>
      </c>
      <c r="L217" s="11"/>
      <c r="M217" s="18">
        <f t="shared" si="3"/>
        <v>12108.254000000001</v>
      </c>
    </row>
    <row r="218" spans="1:13">
      <c r="A218" s="25" t="s">
        <v>88</v>
      </c>
      <c r="B218" s="25">
        <v>3</v>
      </c>
      <c r="C218" s="25">
        <v>2</v>
      </c>
      <c r="D218" s="20">
        <v>12272.013000000001</v>
      </c>
      <c r="E218" s="20">
        <v>441.84399999999999</v>
      </c>
      <c r="F218" s="20">
        <v>830.16899999999998</v>
      </c>
      <c r="G218" s="20">
        <v>11000</v>
      </c>
      <c r="H218" s="27">
        <v>11</v>
      </c>
      <c r="I218" s="20">
        <v>43.408000000000001</v>
      </c>
      <c r="J218" s="11" t="s">
        <v>170</v>
      </c>
      <c r="K218" s="11" t="s">
        <v>170</v>
      </c>
      <c r="L218" s="11"/>
      <c r="M218" s="18">
        <f t="shared" si="3"/>
        <v>12272.013000000001</v>
      </c>
    </row>
    <row r="219" spans="1:13">
      <c r="A219" s="25" t="s">
        <v>88</v>
      </c>
      <c r="B219" s="25">
        <v>4</v>
      </c>
      <c r="C219" s="25">
        <v>3</v>
      </c>
      <c r="D219" s="20">
        <v>12265.734</v>
      </c>
      <c r="E219" s="20">
        <v>441.28300000000002</v>
      </c>
      <c r="F219" s="20">
        <v>824.45</v>
      </c>
      <c r="G219" s="20">
        <v>11000</v>
      </c>
      <c r="H219" s="27">
        <v>11</v>
      </c>
      <c r="I219" s="20">
        <v>40.902000000000001</v>
      </c>
      <c r="J219" s="11" t="s">
        <v>170</v>
      </c>
      <c r="K219" s="11" t="s">
        <v>170</v>
      </c>
      <c r="L219" s="11"/>
      <c r="M219" s="18">
        <f t="shared" si="3"/>
        <v>12265.734</v>
      </c>
    </row>
    <row r="220" spans="1:13">
      <c r="A220" s="25" t="s">
        <v>88</v>
      </c>
      <c r="B220" s="25">
        <v>5</v>
      </c>
      <c r="C220" s="25">
        <v>4</v>
      </c>
      <c r="D220" s="20">
        <v>12136.409</v>
      </c>
      <c r="E220" s="20">
        <v>348.03500000000003</v>
      </c>
      <c r="F220" s="20">
        <v>788.37400000000002</v>
      </c>
      <c r="G220" s="20">
        <v>11000</v>
      </c>
      <c r="H220" s="27">
        <v>11</v>
      </c>
      <c r="I220" s="20">
        <v>44.292000000000002</v>
      </c>
      <c r="J220" s="11" t="s">
        <v>170</v>
      </c>
      <c r="K220" s="11" t="s">
        <v>170</v>
      </c>
      <c r="L220" s="11"/>
      <c r="M220" s="18">
        <f t="shared" si="3"/>
        <v>12136.409</v>
      </c>
    </row>
    <row r="221" spans="1:13">
      <c r="A221" s="25" t="s">
        <v>89</v>
      </c>
      <c r="B221" s="25">
        <v>1</v>
      </c>
      <c r="C221" s="25">
        <v>0</v>
      </c>
      <c r="D221" s="20">
        <v>9952.6209999999992</v>
      </c>
      <c r="E221" s="20">
        <v>1141.145</v>
      </c>
      <c r="F221" s="20">
        <v>811.476</v>
      </c>
      <c r="G221" s="20">
        <v>8000</v>
      </c>
      <c r="H221" s="27">
        <v>8</v>
      </c>
      <c r="I221" s="20">
        <v>42.124000000000002</v>
      </c>
      <c r="J221" s="11" t="s">
        <v>170</v>
      </c>
      <c r="K221" s="11" t="s">
        <v>170</v>
      </c>
      <c r="L221" s="11"/>
      <c r="M221" s="18">
        <f t="shared" si="3"/>
        <v>9952.6209999999992</v>
      </c>
    </row>
    <row r="222" spans="1:13">
      <c r="A222" s="25" t="s">
        <v>89</v>
      </c>
      <c r="B222" s="25">
        <v>2</v>
      </c>
      <c r="C222" s="25">
        <v>1</v>
      </c>
      <c r="D222" s="20">
        <v>9965.2360000000008</v>
      </c>
      <c r="E222" s="20">
        <v>1110.848</v>
      </c>
      <c r="F222" s="20">
        <v>854.38800000000003</v>
      </c>
      <c r="G222" s="20">
        <v>8000</v>
      </c>
      <c r="H222" s="27">
        <v>8</v>
      </c>
      <c r="I222" s="20">
        <v>41.737000000000002</v>
      </c>
      <c r="J222" s="11" t="s">
        <v>170</v>
      </c>
      <c r="K222" s="11" t="s">
        <v>170</v>
      </c>
      <c r="L222" s="11"/>
      <c r="M222" s="18">
        <f t="shared" si="3"/>
        <v>9965.2360000000008</v>
      </c>
    </row>
    <row r="223" spans="1:13">
      <c r="A223" s="25" t="s">
        <v>89</v>
      </c>
      <c r="B223" s="25">
        <v>3</v>
      </c>
      <c r="C223" s="25">
        <v>2</v>
      </c>
      <c r="D223" s="20">
        <v>9875.9040000000005</v>
      </c>
      <c r="E223" s="20">
        <v>1023.169</v>
      </c>
      <c r="F223" s="20">
        <v>852.73500000000001</v>
      </c>
      <c r="G223" s="20">
        <v>8000</v>
      </c>
      <c r="H223" s="27">
        <v>8</v>
      </c>
      <c r="I223" s="20">
        <v>42.399000000000001</v>
      </c>
      <c r="J223" s="11" t="s">
        <v>170</v>
      </c>
      <c r="K223" s="11" t="s">
        <v>170</v>
      </c>
      <c r="L223" s="11"/>
      <c r="M223" s="18">
        <f t="shared" si="3"/>
        <v>9875.9040000000005</v>
      </c>
    </row>
    <row r="224" spans="1:13">
      <c r="A224" s="25" t="s">
        <v>89</v>
      </c>
      <c r="B224" s="25">
        <v>4</v>
      </c>
      <c r="C224" s="25">
        <v>3</v>
      </c>
      <c r="D224" s="20">
        <v>9972.7260000000006</v>
      </c>
      <c r="E224" s="20">
        <v>1104.8530000000001</v>
      </c>
      <c r="F224" s="20">
        <v>867.87300000000005</v>
      </c>
      <c r="G224" s="20">
        <v>8000</v>
      </c>
      <c r="H224" s="27">
        <v>8</v>
      </c>
      <c r="I224" s="20">
        <v>42.201000000000001</v>
      </c>
      <c r="J224" s="11" t="s">
        <v>170</v>
      </c>
      <c r="K224" s="11" t="s">
        <v>170</v>
      </c>
      <c r="L224" s="11"/>
      <c r="M224" s="18">
        <f t="shared" si="3"/>
        <v>9972.7260000000006</v>
      </c>
    </row>
    <row r="225" spans="1:13">
      <c r="A225" s="25" t="s">
        <v>89</v>
      </c>
      <c r="B225" s="25">
        <v>5</v>
      </c>
      <c r="C225" s="25">
        <v>4</v>
      </c>
      <c r="D225" s="20">
        <v>12496.672</v>
      </c>
      <c r="E225" s="20">
        <v>664.452</v>
      </c>
      <c r="F225" s="20">
        <v>832.22</v>
      </c>
      <c r="G225" s="20">
        <v>11000</v>
      </c>
      <c r="H225" s="27">
        <v>11</v>
      </c>
      <c r="I225" s="20">
        <v>42.667999999999999</v>
      </c>
      <c r="J225" s="11" t="s">
        <v>170</v>
      </c>
      <c r="K225" s="11" t="s">
        <v>170</v>
      </c>
      <c r="L225" s="11"/>
      <c r="M225" s="18">
        <f t="shared" si="3"/>
        <v>12496.672</v>
      </c>
    </row>
    <row r="226" spans="1:13">
      <c r="A226" s="25" t="s">
        <v>91</v>
      </c>
      <c r="B226" s="25">
        <v>1</v>
      </c>
      <c r="C226" s="25">
        <v>0</v>
      </c>
      <c r="D226" s="20">
        <v>14790.885</v>
      </c>
      <c r="E226" s="20">
        <v>955.62599999999998</v>
      </c>
      <c r="F226" s="20">
        <v>835.25900000000001</v>
      </c>
      <c r="G226" s="20">
        <v>13000</v>
      </c>
      <c r="H226" s="27">
        <v>13</v>
      </c>
      <c r="I226" s="20">
        <v>44.036999999999999</v>
      </c>
      <c r="J226" s="11" t="s">
        <v>170</v>
      </c>
      <c r="K226" s="11" t="s">
        <v>170</v>
      </c>
      <c r="L226" s="11"/>
      <c r="M226" s="18">
        <f t="shared" si="3"/>
        <v>14790.885</v>
      </c>
    </row>
    <row r="227" spans="1:13">
      <c r="A227" s="25" t="s">
        <v>91</v>
      </c>
      <c r="B227" s="25">
        <v>2</v>
      </c>
      <c r="C227" s="25">
        <v>1</v>
      </c>
      <c r="D227" s="20">
        <v>10051.762000000001</v>
      </c>
      <c r="E227" s="20">
        <v>1173.05</v>
      </c>
      <c r="F227" s="20">
        <v>878.71199999999999</v>
      </c>
      <c r="G227" s="20">
        <v>8000</v>
      </c>
      <c r="H227" s="27">
        <v>8</v>
      </c>
      <c r="I227" s="20">
        <v>41.070999999999998</v>
      </c>
      <c r="J227" s="11" t="s">
        <v>170</v>
      </c>
      <c r="K227" s="11" t="s">
        <v>170</v>
      </c>
      <c r="L227" s="11"/>
      <c r="M227" s="18">
        <f t="shared" si="3"/>
        <v>10051.762000000001</v>
      </c>
    </row>
    <row r="228" spans="1:13">
      <c r="A228" s="25" t="s">
        <v>91</v>
      </c>
      <c r="B228" s="25">
        <v>3</v>
      </c>
      <c r="C228" s="25">
        <v>2</v>
      </c>
      <c r="D228" s="20">
        <v>10130.548000000001</v>
      </c>
      <c r="E228" s="20">
        <v>1273.4069999999999</v>
      </c>
      <c r="F228" s="20">
        <v>857.14099999999996</v>
      </c>
      <c r="G228" s="20">
        <v>8000</v>
      </c>
      <c r="H228" s="27">
        <v>8</v>
      </c>
      <c r="I228" s="20">
        <v>41.414999999999999</v>
      </c>
      <c r="J228" s="11" t="s">
        <v>170</v>
      </c>
      <c r="K228" s="11" t="s">
        <v>170</v>
      </c>
      <c r="L228" s="11"/>
      <c r="M228" s="18">
        <f t="shared" si="3"/>
        <v>10130.548000000001</v>
      </c>
    </row>
    <row r="229" spans="1:13">
      <c r="A229" s="25" t="s">
        <v>91</v>
      </c>
      <c r="B229" s="25">
        <v>4</v>
      </c>
      <c r="C229" s="25">
        <v>3</v>
      </c>
      <c r="D229" s="20">
        <v>10190.083000000001</v>
      </c>
      <c r="E229" s="20">
        <v>1332.2249999999999</v>
      </c>
      <c r="F229" s="20">
        <v>857.85799999999995</v>
      </c>
      <c r="G229" s="20">
        <v>8000</v>
      </c>
      <c r="H229" s="27">
        <v>8</v>
      </c>
      <c r="I229" s="20">
        <v>41.296999999999997</v>
      </c>
      <c r="J229" s="11" t="s">
        <v>170</v>
      </c>
      <c r="K229" s="11" t="s">
        <v>170</v>
      </c>
      <c r="L229" s="11"/>
      <c r="M229" s="18">
        <f t="shared" si="3"/>
        <v>10190.083000000001</v>
      </c>
    </row>
    <row r="230" spans="1:13">
      <c r="A230" s="25" t="s">
        <v>91</v>
      </c>
      <c r="B230" s="25">
        <v>5</v>
      </c>
      <c r="C230" s="25">
        <v>4</v>
      </c>
      <c r="D230" s="20">
        <v>10068.486999999999</v>
      </c>
      <c r="E230" s="20">
        <v>1237.5319999999999</v>
      </c>
      <c r="F230" s="20">
        <v>830.95500000000004</v>
      </c>
      <c r="G230" s="20">
        <v>8000</v>
      </c>
      <c r="H230" s="27">
        <v>8</v>
      </c>
      <c r="I230" s="20">
        <v>41.62</v>
      </c>
      <c r="J230" s="11" t="s">
        <v>170</v>
      </c>
      <c r="K230" s="11" t="s">
        <v>170</v>
      </c>
      <c r="L230" s="11"/>
      <c r="M230" s="18">
        <f t="shared" si="3"/>
        <v>10068.486999999999</v>
      </c>
    </row>
    <row r="231" spans="1:13">
      <c r="A231" s="25" t="s">
        <v>92</v>
      </c>
      <c r="B231" s="25">
        <v>1</v>
      </c>
      <c r="C231" s="25">
        <v>0</v>
      </c>
      <c r="D231" s="20">
        <v>3923.3879999999999</v>
      </c>
      <c r="E231" s="20">
        <v>11.585000000000001</v>
      </c>
      <c r="F231" s="20">
        <v>911.80200000000002</v>
      </c>
      <c r="G231" s="20">
        <v>3000</v>
      </c>
      <c r="H231" s="27">
        <v>3</v>
      </c>
      <c r="I231" s="20">
        <v>42.174999999999997</v>
      </c>
      <c r="J231" s="11" t="s">
        <v>170</v>
      </c>
      <c r="K231" s="11" t="s">
        <v>170</v>
      </c>
      <c r="L231" s="11"/>
      <c r="M231" s="18">
        <f t="shared" si="3"/>
        <v>3923.3879999999999</v>
      </c>
    </row>
    <row r="232" spans="1:13">
      <c r="A232" s="25" t="s">
        <v>92</v>
      </c>
      <c r="B232" s="25">
        <v>2</v>
      </c>
      <c r="C232" s="25">
        <v>1</v>
      </c>
      <c r="D232" s="20">
        <v>3818.9389999999999</v>
      </c>
      <c r="E232" s="20">
        <v>11.585000000000001</v>
      </c>
      <c r="F232" s="20">
        <v>807.35299999999995</v>
      </c>
      <c r="G232" s="20">
        <v>3000</v>
      </c>
      <c r="H232" s="27">
        <v>3</v>
      </c>
      <c r="I232" s="20">
        <v>41.954000000000001</v>
      </c>
      <c r="J232" s="11" t="s">
        <v>170</v>
      </c>
      <c r="K232" s="11" t="s">
        <v>170</v>
      </c>
      <c r="L232" s="11"/>
      <c r="M232" s="18">
        <f t="shared" si="3"/>
        <v>3818.9389999999999</v>
      </c>
    </row>
    <row r="233" spans="1:13">
      <c r="A233" s="25" t="s">
        <v>92</v>
      </c>
      <c r="B233" s="25">
        <v>3</v>
      </c>
      <c r="C233" s="25">
        <v>2</v>
      </c>
      <c r="D233" s="20">
        <v>3820.8989999999999</v>
      </c>
      <c r="E233" s="20">
        <v>11.148999999999999</v>
      </c>
      <c r="F233" s="20">
        <v>809.75</v>
      </c>
      <c r="G233" s="20">
        <v>3000</v>
      </c>
      <c r="H233" s="27">
        <v>3</v>
      </c>
      <c r="I233" s="20">
        <v>42.63</v>
      </c>
      <c r="J233" s="11" t="s">
        <v>170</v>
      </c>
      <c r="K233" s="11" t="s">
        <v>170</v>
      </c>
      <c r="L233" s="11"/>
      <c r="M233" s="18">
        <f t="shared" si="3"/>
        <v>3820.8989999999999</v>
      </c>
    </row>
    <row r="234" spans="1:13">
      <c r="A234" s="25" t="s">
        <v>92</v>
      </c>
      <c r="B234" s="25">
        <v>4</v>
      </c>
      <c r="C234" s="25">
        <v>3</v>
      </c>
      <c r="D234" s="20">
        <v>3840.92</v>
      </c>
      <c r="E234" s="20">
        <v>15.221</v>
      </c>
      <c r="F234" s="20">
        <v>825.69799999999998</v>
      </c>
      <c r="G234" s="20">
        <v>3000</v>
      </c>
      <c r="H234" s="27">
        <v>3</v>
      </c>
      <c r="I234" s="20">
        <v>42.561999999999998</v>
      </c>
      <c r="J234" s="11" t="s">
        <v>170</v>
      </c>
      <c r="K234" s="11" t="s">
        <v>170</v>
      </c>
      <c r="L234" s="11"/>
      <c r="M234" s="18">
        <f t="shared" si="3"/>
        <v>3840.92</v>
      </c>
    </row>
    <row r="235" spans="1:13">
      <c r="A235" s="25" t="s">
        <v>92</v>
      </c>
      <c r="B235" s="25">
        <v>5</v>
      </c>
      <c r="C235" s="25">
        <v>4</v>
      </c>
      <c r="D235" s="20">
        <v>3833.576</v>
      </c>
      <c r="E235" s="20">
        <v>11.148999999999999</v>
      </c>
      <c r="F235" s="20">
        <v>822.42700000000002</v>
      </c>
      <c r="G235" s="20">
        <v>3000</v>
      </c>
      <c r="H235" s="27">
        <v>3</v>
      </c>
      <c r="I235" s="20">
        <v>42.387</v>
      </c>
      <c r="J235" s="11" t="s">
        <v>170</v>
      </c>
      <c r="K235" s="11" t="s">
        <v>170</v>
      </c>
      <c r="L235" s="11"/>
      <c r="M235" s="18">
        <f t="shared" si="3"/>
        <v>3833.576</v>
      </c>
    </row>
    <row r="236" spans="1:13">
      <c r="A236" s="25" t="s">
        <v>93</v>
      </c>
      <c r="B236" s="25">
        <v>1</v>
      </c>
      <c r="C236" s="25">
        <v>0</v>
      </c>
      <c r="D236" s="20">
        <v>3864.0340000000001</v>
      </c>
      <c r="E236" s="20">
        <v>1.482</v>
      </c>
      <c r="F236" s="20">
        <v>862.55200000000002</v>
      </c>
      <c r="G236" s="20">
        <v>3000</v>
      </c>
      <c r="H236" s="27">
        <v>3</v>
      </c>
      <c r="I236" s="20">
        <v>43.103000000000002</v>
      </c>
      <c r="J236" s="11" t="s">
        <v>170</v>
      </c>
      <c r="K236" s="11" t="s">
        <v>170</v>
      </c>
      <c r="L236" s="11"/>
      <c r="M236" s="18">
        <f>IF(AND(J236="Yes",K236="Yes",ISNUMBER(D236)),D236,"")</f>
        <v>3864.0340000000001</v>
      </c>
    </row>
    <row r="237" spans="1:13">
      <c r="A237" s="25" t="s">
        <v>93</v>
      </c>
      <c r="B237" s="25">
        <v>2</v>
      </c>
      <c r="C237" s="25">
        <v>1</v>
      </c>
      <c r="D237" s="20">
        <v>3895.2689999999998</v>
      </c>
      <c r="E237" s="20">
        <v>1.482</v>
      </c>
      <c r="F237" s="20">
        <v>893.78700000000003</v>
      </c>
      <c r="G237" s="20">
        <v>3000</v>
      </c>
      <c r="H237" s="27">
        <v>3</v>
      </c>
      <c r="I237" s="20">
        <v>44.473999999999997</v>
      </c>
      <c r="J237" s="11" t="s">
        <v>170</v>
      </c>
      <c r="K237" s="11" t="s">
        <v>170</v>
      </c>
      <c r="L237" s="11"/>
      <c r="M237" s="18">
        <f t="shared" si="3"/>
        <v>3895.2689999999998</v>
      </c>
    </row>
    <row r="238" spans="1:13">
      <c r="A238" s="25" t="s">
        <v>93</v>
      </c>
      <c r="B238" s="25">
        <v>3</v>
      </c>
      <c r="C238" s="25">
        <v>2</v>
      </c>
      <c r="D238" s="20">
        <v>3860.377</v>
      </c>
      <c r="E238" s="20">
        <v>15.414</v>
      </c>
      <c r="F238" s="20">
        <v>844.96299999999997</v>
      </c>
      <c r="G238" s="20">
        <v>3000</v>
      </c>
      <c r="H238" s="27">
        <v>3</v>
      </c>
      <c r="I238" s="20">
        <v>43.345999999999997</v>
      </c>
      <c r="J238" s="11" t="s">
        <v>170</v>
      </c>
      <c r="K238" s="11" t="s">
        <v>170</v>
      </c>
      <c r="L238" s="11"/>
      <c r="M238" s="18">
        <f t="shared" si="3"/>
        <v>3860.377</v>
      </c>
    </row>
    <row r="239" spans="1:13">
      <c r="A239" s="25" t="s">
        <v>93</v>
      </c>
      <c r="B239" s="25">
        <v>4</v>
      </c>
      <c r="C239" s="25">
        <v>3</v>
      </c>
      <c r="D239" s="20">
        <v>3950.46</v>
      </c>
      <c r="E239" s="20">
        <v>57.012</v>
      </c>
      <c r="F239" s="20">
        <v>893.44799999999998</v>
      </c>
      <c r="G239" s="20">
        <v>3000</v>
      </c>
      <c r="H239" s="27">
        <v>3</v>
      </c>
      <c r="I239" s="20">
        <v>42.944000000000003</v>
      </c>
      <c r="J239" s="11" t="s">
        <v>170</v>
      </c>
      <c r="K239" s="11" t="s">
        <v>170</v>
      </c>
      <c r="L239" s="11"/>
      <c r="M239" s="18">
        <f t="shared" si="3"/>
        <v>3950.46</v>
      </c>
    </row>
    <row r="240" spans="1:13">
      <c r="A240" s="25" t="s">
        <v>93</v>
      </c>
      <c r="B240" s="25">
        <v>5</v>
      </c>
      <c r="C240" s="25">
        <v>4</v>
      </c>
      <c r="D240" s="20">
        <v>3989.3449999999998</v>
      </c>
      <c r="E240" s="20">
        <v>130.04</v>
      </c>
      <c r="F240" s="20">
        <v>859.30600000000004</v>
      </c>
      <c r="G240" s="20">
        <v>3000</v>
      </c>
      <c r="H240" s="27">
        <v>3</v>
      </c>
      <c r="I240" s="20">
        <v>43.817</v>
      </c>
      <c r="J240" s="11" t="s">
        <v>170</v>
      </c>
      <c r="K240" s="11" t="s">
        <v>170</v>
      </c>
      <c r="L240" s="11"/>
      <c r="M240" s="18">
        <f t="shared" si="3"/>
        <v>3989.3449999999998</v>
      </c>
    </row>
    <row r="241" spans="1:13">
      <c r="A241" s="25" t="s">
        <v>94</v>
      </c>
      <c r="B241" s="25">
        <v>1</v>
      </c>
      <c r="C241" s="25">
        <v>0</v>
      </c>
      <c r="D241" s="20">
        <v>4389.0630000000001</v>
      </c>
      <c r="E241" s="20">
        <v>447.971</v>
      </c>
      <c r="F241" s="20">
        <v>941.09199999999998</v>
      </c>
      <c r="G241" s="20">
        <v>3000</v>
      </c>
      <c r="H241" s="27">
        <v>3</v>
      </c>
      <c r="I241" s="20">
        <v>45.884999999999998</v>
      </c>
      <c r="J241" s="11" t="s">
        <v>170</v>
      </c>
      <c r="K241" s="11" t="s">
        <v>170</v>
      </c>
      <c r="L241" s="11"/>
      <c r="M241" s="18">
        <f t="shared" si="3"/>
        <v>4389.0630000000001</v>
      </c>
    </row>
    <row r="242" spans="1:13">
      <c r="A242" s="25" t="s">
        <v>94</v>
      </c>
      <c r="B242" s="25">
        <v>2</v>
      </c>
      <c r="C242" s="25">
        <v>1</v>
      </c>
      <c r="D242" s="20">
        <v>4244.9979999999996</v>
      </c>
      <c r="E242" s="20">
        <v>253.72300000000001</v>
      </c>
      <c r="F242" s="20">
        <v>991.27499999999998</v>
      </c>
      <c r="G242" s="20">
        <v>3000</v>
      </c>
      <c r="H242" s="27">
        <v>3</v>
      </c>
      <c r="I242" s="20">
        <v>40.78</v>
      </c>
      <c r="J242" s="11" t="s">
        <v>170</v>
      </c>
      <c r="K242" s="11" t="s">
        <v>170</v>
      </c>
      <c r="L242" s="11"/>
      <c r="M242" s="18">
        <f t="shared" si="3"/>
        <v>4244.9979999999996</v>
      </c>
    </row>
    <row r="243" spans="1:13">
      <c r="A243" s="25" t="s">
        <v>94</v>
      </c>
      <c r="B243" s="25">
        <v>3</v>
      </c>
      <c r="C243" s="25">
        <v>2</v>
      </c>
      <c r="D243" s="20">
        <v>4351.5169999999998</v>
      </c>
      <c r="E243" s="20">
        <v>380.95400000000001</v>
      </c>
      <c r="F243" s="20">
        <v>970.56299999999999</v>
      </c>
      <c r="G243" s="20">
        <v>3000</v>
      </c>
      <c r="H243" s="27">
        <v>3</v>
      </c>
      <c r="I243" s="20">
        <v>37.124000000000002</v>
      </c>
      <c r="J243" s="11" t="s">
        <v>170</v>
      </c>
      <c r="K243" s="11" t="s">
        <v>170</v>
      </c>
      <c r="L243" s="11"/>
      <c r="M243" s="18">
        <f t="shared" si="3"/>
        <v>4351.5169999999998</v>
      </c>
    </row>
    <row r="244" spans="1:13">
      <c r="A244" s="25" t="s">
        <v>94</v>
      </c>
      <c r="B244" s="25">
        <v>4</v>
      </c>
      <c r="C244" s="25">
        <v>3</v>
      </c>
      <c r="D244" s="20">
        <v>4425.9070000000002</v>
      </c>
      <c r="E244" s="20">
        <v>445.09300000000002</v>
      </c>
      <c r="F244" s="20">
        <v>980.81399999999996</v>
      </c>
      <c r="G244" s="20">
        <v>3000</v>
      </c>
      <c r="H244" s="27">
        <v>3</v>
      </c>
      <c r="I244" s="20">
        <v>48.264000000000003</v>
      </c>
      <c r="J244" s="11" t="s">
        <v>170</v>
      </c>
      <c r="K244" s="11" t="s">
        <v>170</v>
      </c>
      <c r="L244" s="11"/>
      <c r="M244" s="18">
        <f t="shared" si="3"/>
        <v>4425.9070000000002</v>
      </c>
    </row>
    <row r="245" spans="1:13">
      <c r="A245" s="25" t="s">
        <v>94</v>
      </c>
      <c r="B245" s="25">
        <v>5</v>
      </c>
      <c r="C245" s="25">
        <v>4</v>
      </c>
      <c r="D245" s="20">
        <v>4248.1469999999999</v>
      </c>
      <c r="E245" s="20">
        <v>298.12599999999998</v>
      </c>
      <c r="F245" s="20">
        <v>950.02200000000005</v>
      </c>
      <c r="G245" s="20">
        <v>3000</v>
      </c>
      <c r="H245" s="27">
        <v>3</v>
      </c>
      <c r="I245" s="20">
        <v>45.14</v>
      </c>
      <c r="J245" s="11" t="s">
        <v>170</v>
      </c>
      <c r="K245" s="11" t="s">
        <v>170</v>
      </c>
      <c r="L245" s="11"/>
      <c r="M245" s="18">
        <f t="shared" si="3"/>
        <v>4248.1469999999999</v>
      </c>
    </row>
    <row r="246" spans="1:13">
      <c r="A246" s="25" t="s">
        <v>95</v>
      </c>
      <c r="B246" s="25">
        <v>1</v>
      </c>
      <c r="C246" s="25">
        <v>0</v>
      </c>
      <c r="D246" s="20">
        <v>4739.8239999999996</v>
      </c>
      <c r="E246" s="20">
        <v>766.36199999999997</v>
      </c>
      <c r="F246" s="20">
        <v>973.46199999999999</v>
      </c>
      <c r="G246" s="20">
        <v>3000</v>
      </c>
      <c r="H246" s="27">
        <v>3</v>
      </c>
      <c r="I246" s="20">
        <v>46.780999999999999</v>
      </c>
      <c r="J246" s="11" t="s">
        <v>170</v>
      </c>
      <c r="K246" s="11" t="s">
        <v>170</v>
      </c>
      <c r="L246" s="11"/>
      <c r="M246" s="18">
        <f>IF(AND(J246="Yes",K246="Yes",ISNUMBER(D246)),D246,"")</f>
        <v>4739.8239999999996</v>
      </c>
    </row>
    <row r="247" spans="1:13">
      <c r="A247" s="25" t="s">
        <v>95</v>
      </c>
      <c r="B247" s="25">
        <v>2</v>
      </c>
      <c r="C247" s="25">
        <v>1</v>
      </c>
      <c r="D247" s="20">
        <v>4374.2709999999997</v>
      </c>
      <c r="E247" s="20">
        <v>462.74200000000002</v>
      </c>
      <c r="F247" s="20">
        <v>911.529</v>
      </c>
      <c r="G247" s="20">
        <v>3000</v>
      </c>
      <c r="H247" s="27">
        <v>3</v>
      </c>
      <c r="I247" s="20">
        <v>45.436999999999998</v>
      </c>
      <c r="J247" s="11" t="s">
        <v>170</v>
      </c>
      <c r="K247" s="11" t="s">
        <v>170</v>
      </c>
      <c r="L247" s="11"/>
      <c r="M247" s="18">
        <f t="shared" si="3"/>
        <v>4374.2709999999997</v>
      </c>
    </row>
    <row r="248" spans="1:13">
      <c r="A248" s="25" t="s">
        <v>95</v>
      </c>
      <c r="B248" s="25">
        <v>3</v>
      </c>
      <c r="C248" s="25">
        <v>2</v>
      </c>
      <c r="D248" s="20">
        <v>4450.5609999999997</v>
      </c>
      <c r="E248" s="20">
        <v>524.31299999999999</v>
      </c>
      <c r="F248" s="20">
        <v>926.24800000000005</v>
      </c>
      <c r="G248" s="20">
        <v>3000</v>
      </c>
      <c r="H248" s="27">
        <v>3</v>
      </c>
      <c r="I248" s="20">
        <v>45.454999999999998</v>
      </c>
      <c r="J248" s="11" t="s">
        <v>170</v>
      </c>
      <c r="K248" s="11" t="s">
        <v>170</v>
      </c>
      <c r="L248" s="11"/>
      <c r="M248" s="18">
        <f t="shared" si="3"/>
        <v>4450.5609999999997</v>
      </c>
    </row>
    <row r="249" spans="1:13">
      <c r="A249" s="25" t="s">
        <v>95</v>
      </c>
      <c r="B249" s="25">
        <v>4</v>
      </c>
      <c r="C249" s="25">
        <v>3</v>
      </c>
      <c r="D249" s="20">
        <v>4705.759</v>
      </c>
      <c r="E249" s="20">
        <v>752.37</v>
      </c>
      <c r="F249" s="20">
        <v>953.39</v>
      </c>
      <c r="G249" s="20">
        <v>3000</v>
      </c>
      <c r="H249" s="27">
        <v>3</v>
      </c>
      <c r="I249" s="20">
        <v>47.433999999999997</v>
      </c>
      <c r="J249" s="11" t="s">
        <v>170</v>
      </c>
      <c r="K249" s="11" t="s">
        <v>170</v>
      </c>
      <c r="L249" s="11"/>
      <c r="M249" s="18">
        <f t="shared" si="3"/>
        <v>4705.759</v>
      </c>
    </row>
    <row r="250" spans="1:13">
      <c r="A250" s="25" t="s">
        <v>95</v>
      </c>
      <c r="B250" s="25">
        <v>5</v>
      </c>
      <c r="C250" s="25">
        <v>4</v>
      </c>
      <c r="D250" s="20">
        <v>4396.8850000000002</v>
      </c>
      <c r="E250" s="20">
        <v>442.74200000000002</v>
      </c>
      <c r="F250" s="20">
        <v>954.14200000000005</v>
      </c>
      <c r="G250" s="20">
        <v>3000</v>
      </c>
      <c r="H250" s="27">
        <v>3</v>
      </c>
      <c r="I250" s="20">
        <v>46.478000000000002</v>
      </c>
      <c r="J250" s="11" t="s">
        <v>170</v>
      </c>
      <c r="K250" s="11" t="s">
        <v>170</v>
      </c>
      <c r="L250" s="11"/>
      <c r="M250" s="18">
        <f t="shared" si="3"/>
        <v>4396.8850000000002</v>
      </c>
    </row>
    <row r="251" spans="1:13">
      <c r="A251" s="25" t="s">
        <v>96</v>
      </c>
      <c r="B251" s="25">
        <v>1</v>
      </c>
      <c r="C251" s="25">
        <v>0</v>
      </c>
      <c r="D251" s="20">
        <v>5127.7439999999997</v>
      </c>
      <c r="E251" s="20">
        <v>1215.335</v>
      </c>
      <c r="F251" s="20">
        <v>912.40899999999999</v>
      </c>
      <c r="G251" s="20">
        <v>3000</v>
      </c>
      <c r="H251" s="27">
        <v>3</v>
      </c>
      <c r="I251" s="20">
        <v>44.24</v>
      </c>
      <c r="J251" s="11" t="s">
        <v>170</v>
      </c>
      <c r="K251" s="11" t="s">
        <v>170</v>
      </c>
      <c r="L251" s="11"/>
      <c r="M251" s="18">
        <f t="shared" si="3"/>
        <v>5127.7439999999997</v>
      </c>
    </row>
    <row r="252" spans="1:13">
      <c r="A252" s="25" t="s">
        <v>96</v>
      </c>
      <c r="B252" s="25">
        <v>2</v>
      </c>
      <c r="C252" s="25">
        <v>1</v>
      </c>
      <c r="D252" s="20">
        <v>5118.9579999999996</v>
      </c>
      <c r="E252" s="20">
        <v>1188.421</v>
      </c>
      <c r="F252" s="20">
        <v>930.53800000000001</v>
      </c>
      <c r="G252" s="20">
        <v>3000</v>
      </c>
      <c r="H252" s="27">
        <v>3</v>
      </c>
      <c r="I252" s="20">
        <v>44.622999999999998</v>
      </c>
      <c r="J252" s="11" t="s">
        <v>170</v>
      </c>
      <c r="K252" s="11" t="s">
        <v>170</v>
      </c>
      <c r="L252" s="11"/>
      <c r="M252" s="18">
        <f t="shared" si="3"/>
        <v>5118.9579999999996</v>
      </c>
    </row>
    <row r="253" spans="1:13">
      <c r="A253" s="25" t="s">
        <v>96</v>
      </c>
      <c r="B253" s="25">
        <v>3</v>
      </c>
      <c r="C253" s="25">
        <v>2</v>
      </c>
      <c r="D253" s="20">
        <v>5141.0119999999997</v>
      </c>
      <c r="E253" s="20">
        <v>1210.894</v>
      </c>
      <c r="F253" s="20">
        <v>930.11800000000005</v>
      </c>
      <c r="G253" s="20">
        <v>3000</v>
      </c>
      <c r="H253" s="27">
        <v>3</v>
      </c>
      <c r="I253" s="20">
        <v>38.088000000000001</v>
      </c>
      <c r="J253" s="11" t="s">
        <v>170</v>
      </c>
      <c r="K253" s="11" t="s">
        <v>170</v>
      </c>
      <c r="L253" s="11"/>
      <c r="M253" s="18">
        <f t="shared" si="3"/>
        <v>5141.0119999999997</v>
      </c>
    </row>
    <row r="254" spans="1:13">
      <c r="A254" s="25" t="s">
        <v>96</v>
      </c>
      <c r="B254" s="25">
        <v>4</v>
      </c>
      <c r="C254" s="25">
        <v>3</v>
      </c>
      <c r="D254" s="20">
        <v>8111.95</v>
      </c>
      <c r="E254" s="20">
        <v>1159.5239999999999</v>
      </c>
      <c r="F254" s="20">
        <v>952.42600000000004</v>
      </c>
      <c r="G254" s="20">
        <v>6000</v>
      </c>
      <c r="H254" s="27">
        <v>6</v>
      </c>
      <c r="I254" s="20">
        <v>44.31</v>
      </c>
      <c r="J254" s="11" t="s">
        <v>170</v>
      </c>
      <c r="K254" s="11" t="s">
        <v>170</v>
      </c>
      <c r="L254" s="11"/>
      <c r="M254" s="18">
        <f t="shared" si="3"/>
        <v>8111.95</v>
      </c>
    </row>
    <row r="255" spans="1:13">
      <c r="A255" s="25" t="s">
        <v>96</v>
      </c>
      <c r="B255" s="25">
        <v>5</v>
      </c>
      <c r="C255" s="25">
        <v>4</v>
      </c>
      <c r="D255" s="20">
        <v>5168.3950000000004</v>
      </c>
      <c r="E255" s="20">
        <v>1220.604</v>
      </c>
      <c r="F255" s="20">
        <v>947.79200000000003</v>
      </c>
      <c r="G255" s="20">
        <v>3000</v>
      </c>
      <c r="H255" s="27">
        <v>3</v>
      </c>
      <c r="I255" s="20">
        <v>44.985999999999997</v>
      </c>
      <c r="J255" s="11" t="s">
        <v>170</v>
      </c>
      <c r="K255" s="11" t="s">
        <v>170</v>
      </c>
      <c r="L255" s="11"/>
      <c r="M255" s="18">
        <f t="shared" si="3"/>
        <v>5168.3950000000004</v>
      </c>
    </row>
    <row r="256" spans="1:13">
      <c r="A256" s="25" t="s">
        <v>97</v>
      </c>
      <c r="B256" s="25">
        <v>1</v>
      </c>
      <c r="C256" s="25">
        <v>0</v>
      </c>
      <c r="D256" s="20">
        <v>14284.181</v>
      </c>
      <c r="E256" s="20">
        <v>0</v>
      </c>
      <c r="F256" s="20">
        <v>1284.181</v>
      </c>
      <c r="G256" s="20">
        <v>13000</v>
      </c>
      <c r="H256" s="27">
        <v>13</v>
      </c>
      <c r="I256" s="20">
        <v>71.183000000000007</v>
      </c>
      <c r="J256" s="11" t="s">
        <v>170</v>
      </c>
      <c r="K256" s="11" t="s">
        <v>170</v>
      </c>
      <c r="L256" s="11"/>
      <c r="M256" s="18">
        <f t="shared" si="3"/>
        <v>14284.181</v>
      </c>
    </row>
    <row r="257" spans="1:13">
      <c r="A257" s="25" t="s">
        <v>97</v>
      </c>
      <c r="B257" s="25">
        <v>2</v>
      </c>
      <c r="C257" s="25">
        <v>1</v>
      </c>
      <c r="D257" s="20">
        <v>14320.856</v>
      </c>
      <c r="E257" s="20">
        <v>0</v>
      </c>
      <c r="F257" s="20">
        <v>1320.856</v>
      </c>
      <c r="G257" s="20">
        <v>13000</v>
      </c>
      <c r="H257" s="27">
        <v>13</v>
      </c>
      <c r="I257" s="20">
        <v>71.513000000000005</v>
      </c>
      <c r="J257" s="11" t="s">
        <v>170</v>
      </c>
      <c r="K257" s="11" t="s">
        <v>170</v>
      </c>
      <c r="L257" s="11"/>
      <c r="M257" s="18">
        <f t="shared" si="3"/>
        <v>14320.856</v>
      </c>
    </row>
    <row r="258" spans="1:13">
      <c r="A258" s="25" t="s">
        <v>97</v>
      </c>
      <c r="B258" s="25">
        <v>3</v>
      </c>
      <c r="C258" s="25">
        <v>2</v>
      </c>
      <c r="D258" s="20">
        <v>15244.126</v>
      </c>
      <c r="E258" s="20">
        <v>0</v>
      </c>
      <c r="F258" s="20">
        <v>1244.126</v>
      </c>
      <c r="G258" s="20">
        <v>14000</v>
      </c>
      <c r="H258" s="27">
        <v>14</v>
      </c>
      <c r="I258" s="20">
        <v>72.266999999999996</v>
      </c>
      <c r="J258" s="11" t="s">
        <v>170</v>
      </c>
      <c r="K258" s="11" t="s">
        <v>170</v>
      </c>
      <c r="L258" s="11"/>
      <c r="M258" s="18">
        <f t="shared" si="3"/>
        <v>15244.126</v>
      </c>
    </row>
    <row r="259" spans="1:13">
      <c r="A259" s="25" t="s">
        <v>97</v>
      </c>
      <c r="B259" s="25">
        <v>4</v>
      </c>
      <c r="C259" s="25">
        <v>3</v>
      </c>
      <c r="D259" s="20">
        <v>11392.957</v>
      </c>
      <c r="E259" s="20">
        <v>5.1959999999999997</v>
      </c>
      <c r="F259" s="20">
        <v>1387.761</v>
      </c>
      <c r="G259" s="20">
        <v>10000</v>
      </c>
      <c r="H259" s="27">
        <v>10</v>
      </c>
      <c r="I259" s="20">
        <v>70.177999999999997</v>
      </c>
      <c r="J259" s="11" t="s">
        <v>170</v>
      </c>
      <c r="K259" s="11" t="s">
        <v>170</v>
      </c>
      <c r="L259" s="11"/>
      <c r="M259" s="18">
        <f t="shared" si="3"/>
        <v>11392.957</v>
      </c>
    </row>
    <row r="260" spans="1:13">
      <c r="A260" s="25" t="s">
        <v>97</v>
      </c>
      <c r="B260" s="25">
        <v>5</v>
      </c>
      <c r="C260" s="25">
        <v>4</v>
      </c>
      <c r="D260" s="20">
        <v>13358.403</v>
      </c>
      <c r="E260" s="20">
        <v>0</v>
      </c>
      <c r="F260" s="20">
        <v>1358.403</v>
      </c>
      <c r="G260" s="20">
        <v>12000</v>
      </c>
      <c r="H260" s="27">
        <v>12</v>
      </c>
      <c r="I260" s="20">
        <v>69.206000000000003</v>
      </c>
      <c r="J260" s="11" t="s">
        <v>170</v>
      </c>
      <c r="K260" s="11" t="s">
        <v>170</v>
      </c>
      <c r="L260" s="11"/>
      <c r="M260" s="18">
        <f t="shared" si="3"/>
        <v>13358.403</v>
      </c>
    </row>
    <row r="261" spans="1:13">
      <c r="A261" s="25" t="s">
        <v>98</v>
      </c>
      <c r="B261" s="25">
        <v>1</v>
      </c>
      <c r="C261" s="25">
        <v>0</v>
      </c>
      <c r="D261" s="20">
        <v>20345.55</v>
      </c>
      <c r="E261" s="20">
        <v>36.524999999999999</v>
      </c>
      <c r="F261" s="20">
        <v>1309.0250000000001</v>
      </c>
      <c r="G261" s="20">
        <v>19000</v>
      </c>
      <c r="H261" s="27">
        <v>19</v>
      </c>
      <c r="I261" s="20">
        <v>71.272000000000006</v>
      </c>
      <c r="J261" s="11" t="s">
        <v>170</v>
      </c>
      <c r="K261" s="11" t="s">
        <v>170</v>
      </c>
      <c r="L261" s="11"/>
      <c r="M261" s="18">
        <f t="shared" si="3"/>
        <v>20345.55</v>
      </c>
    </row>
    <row r="262" spans="1:13">
      <c r="A262" s="25" t="s">
        <v>98</v>
      </c>
      <c r="B262" s="25">
        <v>2</v>
      </c>
      <c r="C262" s="25">
        <v>1</v>
      </c>
      <c r="D262" s="20">
        <v>17384.036</v>
      </c>
      <c r="E262" s="20">
        <v>106.39700000000001</v>
      </c>
      <c r="F262" s="20">
        <v>1277.6389999999999</v>
      </c>
      <c r="G262" s="20">
        <v>16000</v>
      </c>
      <c r="H262" s="27">
        <v>16</v>
      </c>
      <c r="I262" s="20">
        <v>70.498999999999995</v>
      </c>
      <c r="J262" s="11" t="s">
        <v>170</v>
      </c>
      <c r="K262" s="11" t="s">
        <v>170</v>
      </c>
      <c r="L262" s="11"/>
      <c r="M262" s="18">
        <f t="shared" ref="M262:M325" si="4">IF(AND(J262="Yes",K262="Yes",ISNUMBER(D262)),D262,"")</f>
        <v>17384.036</v>
      </c>
    </row>
    <row r="263" spans="1:13">
      <c r="A263" s="25" t="s">
        <v>98</v>
      </c>
      <c r="B263" s="25">
        <v>3</v>
      </c>
      <c r="C263" s="25">
        <v>2</v>
      </c>
      <c r="D263" s="20">
        <v>21313.804</v>
      </c>
      <c r="E263" s="20">
        <v>69.117999999999995</v>
      </c>
      <c r="F263" s="20">
        <v>1244.6859999999999</v>
      </c>
      <c r="G263" s="20">
        <v>20000</v>
      </c>
      <c r="H263" s="27">
        <v>20</v>
      </c>
      <c r="I263" s="20">
        <v>71.692999999999998</v>
      </c>
      <c r="J263" s="11" t="s">
        <v>170</v>
      </c>
      <c r="K263" s="11" t="s">
        <v>170</v>
      </c>
      <c r="L263" s="11"/>
      <c r="M263" s="18">
        <f t="shared" si="4"/>
        <v>21313.804</v>
      </c>
    </row>
    <row r="264" spans="1:13">
      <c r="A264" s="25" t="s">
        <v>98</v>
      </c>
      <c r="B264" s="25">
        <v>4</v>
      </c>
      <c r="C264" s="25">
        <v>3</v>
      </c>
      <c r="D264" s="20">
        <v>14499.904</v>
      </c>
      <c r="E264" s="20">
        <v>120.753</v>
      </c>
      <c r="F264" s="20">
        <v>1379.1510000000001</v>
      </c>
      <c r="G264" s="20">
        <v>13000</v>
      </c>
      <c r="H264" s="27">
        <v>13</v>
      </c>
      <c r="I264" s="20">
        <v>62.289000000000001</v>
      </c>
      <c r="J264" s="11" t="s">
        <v>170</v>
      </c>
      <c r="K264" s="11" t="s">
        <v>170</v>
      </c>
      <c r="L264" s="11"/>
      <c r="M264" s="18">
        <f t="shared" si="4"/>
        <v>14499.904</v>
      </c>
    </row>
    <row r="265" spans="1:13">
      <c r="A265" s="25" t="s">
        <v>98</v>
      </c>
      <c r="B265" s="25">
        <v>5</v>
      </c>
      <c r="C265" s="25">
        <v>4</v>
      </c>
      <c r="D265" s="20">
        <v>16636.114000000001</v>
      </c>
      <c r="E265" s="20">
        <v>231.09399999999999</v>
      </c>
      <c r="F265" s="20">
        <v>1405.02</v>
      </c>
      <c r="G265" s="20">
        <v>15000</v>
      </c>
      <c r="H265" s="27">
        <v>15</v>
      </c>
      <c r="I265" s="20">
        <v>63.741999999999997</v>
      </c>
      <c r="J265" s="11" t="s">
        <v>170</v>
      </c>
      <c r="K265" s="11" t="s">
        <v>170</v>
      </c>
      <c r="L265" s="11"/>
      <c r="M265" s="18">
        <f t="shared" si="4"/>
        <v>16636.114000000001</v>
      </c>
    </row>
    <row r="266" spans="1:13">
      <c r="A266" s="25" t="s">
        <v>100</v>
      </c>
      <c r="B266" s="25">
        <v>1</v>
      </c>
      <c r="C266" s="25">
        <v>0</v>
      </c>
      <c r="D266" s="20">
        <v>18050.857</v>
      </c>
      <c r="E266" s="20">
        <v>748.25199999999995</v>
      </c>
      <c r="F266" s="20">
        <v>1302.605</v>
      </c>
      <c r="G266" s="20">
        <v>16000</v>
      </c>
      <c r="H266" s="27">
        <v>16</v>
      </c>
      <c r="I266" s="20">
        <v>63.244999999999997</v>
      </c>
      <c r="J266" s="11" t="s">
        <v>170</v>
      </c>
      <c r="K266" s="11" t="s">
        <v>170</v>
      </c>
      <c r="L266" s="11"/>
      <c r="M266" s="18">
        <f t="shared" si="4"/>
        <v>18050.857</v>
      </c>
    </row>
    <row r="267" spans="1:13">
      <c r="A267" s="25" t="s">
        <v>100</v>
      </c>
      <c r="B267" s="25">
        <v>2</v>
      </c>
      <c r="C267" s="25">
        <v>1</v>
      </c>
      <c r="D267" s="20">
        <v>16878.282999999999</v>
      </c>
      <c r="E267" s="20">
        <v>504.40300000000002</v>
      </c>
      <c r="F267" s="20">
        <v>1373.88</v>
      </c>
      <c r="G267" s="20">
        <v>15000</v>
      </c>
      <c r="H267" s="27">
        <v>15</v>
      </c>
      <c r="I267" s="20">
        <v>63.115000000000002</v>
      </c>
      <c r="J267" s="11" t="s">
        <v>170</v>
      </c>
      <c r="K267" s="11" t="s">
        <v>170</v>
      </c>
      <c r="L267" s="11"/>
      <c r="M267" s="18">
        <f t="shared" si="4"/>
        <v>16878.282999999999</v>
      </c>
    </row>
    <row r="268" spans="1:13">
      <c r="A268" s="25" t="s">
        <v>100</v>
      </c>
      <c r="B268" s="25">
        <v>3</v>
      </c>
      <c r="C268" s="25">
        <v>2</v>
      </c>
      <c r="D268" s="20">
        <v>16440.091</v>
      </c>
      <c r="E268" s="20">
        <v>1031.075</v>
      </c>
      <c r="F268" s="20">
        <v>1409.0160000000001</v>
      </c>
      <c r="G268" s="20">
        <v>14000</v>
      </c>
      <c r="H268" s="27">
        <v>14</v>
      </c>
      <c r="I268" s="20">
        <v>59.176000000000002</v>
      </c>
      <c r="J268" s="11" t="s">
        <v>170</v>
      </c>
      <c r="K268" s="11" t="s">
        <v>170</v>
      </c>
      <c r="L268" s="11"/>
      <c r="M268" s="18">
        <f t="shared" si="4"/>
        <v>16440.091</v>
      </c>
    </row>
    <row r="269" spans="1:13">
      <c r="A269" s="25" t="s">
        <v>100</v>
      </c>
      <c r="B269" s="25">
        <v>4</v>
      </c>
      <c r="C269" s="25">
        <v>3</v>
      </c>
      <c r="D269" s="20">
        <v>18227.373</v>
      </c>
      <c r="E269" s="20">
        <v>910.47199999999998</v>
      </c>
      <c r="F269" s="20">
        <v>1316.9010000000001</v>
      </c>
      <c r="G269" s="20">
        <v>16000</v>
      </c>
      <c r="H269" s="27">
        <v>16</v>
      </c>
      <c r="I269" s="20">
        <v>71.616</v>
      </c>
      <c r="J269" s="11" t="s">
        <v>170</v>
      </c>
      <c r="K269" s="11" t="s">
        <v>170</v>
      </c>
      <c r="L269" s="11"/>
      <c r="M269" s="18">
        <f t="shared" si="4"/>
        <v>18227.373</v>
      </c>
    </row>
    <row r="270" spans="1:13">
      <c r="A270" s="25" t="s">
        <v>100</v>
      </c>
      <c r="B270" s="25">
        <v>5</v>
      </c>
      <c r="C270" s="25">
        <v>4</v>
      </c>
      <c r="D270" s="20">
        <v>18048.401000000002</v>
      </c>
      <c r="E270" s="20">
        <v>1589.4259999999999</v>
      </c>
      <c r="F270" s="20">
        <v>1458.9749999999999</v>
      </c>
      <c r="G270" s="20">
        <v>15000</v>
      </c>
      <c r="H270" s="27">
        <v>15</v>
      </c>
      <c r="I270" s="20">
        <v>70.905000000000001</v>
      </c>
      <c r="J270" s="11" t="s">
        <v>170</v>
      </c>
      <c r="K270" s="11" t="s">
        <v>170</v>
      </c>
      <c r="L270" s="11"/>
      <c r="M270" s="18">
        <f t="shared" si="4"/>
        <v>18048.401000000002</v>
      </c>
    </row>
    <row r="271" spans="1:13">
      <c r="A271" s="25" t="s">
        <v>101</v>
      </c>
      <c r="B271" s="25">
        <v>1</v>
      </c>
      <c r="C271" s="25">
        <v>0</v>
      </c>
      <c r="D271" s="20">
        <v>16863.706999999999</v>
      </c>
      <c r="E271" s="20">
        <v>1446.33</v>
      </c>
      <c r="F271" s="20">
        <v>1417.377</v>
      </c>
      <c r="G271" s="20">
        <v>14000</v>
      </c>
      <c r="H271" s="27">
        <v>14</v>
      </c>
      <c r="I271" s="20">
        <v>66.197000000000003</v>
      </c>
      <c r="J271" s="11" t="s">
        <v>170</v>
      </c>
      <c r="K271" s="11" t="s">
        <v>170</v>
      </c>
      <c r="L271" s="11"/>
      <c r="M271" s="18">
        <f t="shared" si="4"/>
        <v>16863.706999999999</v>
      </c>
    </row>
    <row r="272" spans="1:13">
      <c r="A272" s="25" t="s">
        <v>101</v>
      </c>
      <c r="B272" s="25">
        <v>2</v>
      </c>
      <c r="C272" s="25">
        <v>1</v>
      </c>
      <c r="D272" s="20">
        <v>16667.028999999999</v>
      </c>
      <c r="E272" s="20">
        <v>1320.269</v>
      </c>
      <c r="F272" s="20">
        <v>1346.76</v>
      </c>
      <c r="G272" s="20">
        <v>14000</v>
      </c>
      <c r="H272" s="27">
        <v>14</v>
      </c>
      <c r="I272" s="20">
        <v>65.963999999999999</v>
      </c>
      <c r="J272" s="11" t="s">
        <v>170</v>
      </c>
      <c r="K272" s="11" t="s">
        <v>170</v>
      </c>
      <c r="L272" s="11"/>
      <c r="M272" s="18">
        <f t="shared" si="4"/>
        <v>16667.028999999999</v>
      </c>
    </row>
    <row r="273" spans="1:13">
      <c r="A273" s="25" t="s">
        <v>101</v>
      </c>
      <c r="B273" s="25">
        <v>3</v>
      </c>
      <c r="C273" s="25">
        <v>2</v>
      </c>
      <c r="D273" s="20">
        <v>16787.431</v>
      </c>
      <c r="E273" s="20">
        <v>1355.62</v>
      </c>
      <c r="F273" s="20">
        <v>1431.81</v>
      </c>
      <c r="G273" s="20">
        <v>14000</v>
      </c>
      <c r="H273" s="27">
        <v>14</v>
      </c>
      <c r="I273" s="20">
        <v>68.611000000000004</v>
      </c>
      <c r="J273" s="11" t="s">
        <v>170</v>
      </c>
      <c r="K273" s="11" t="s">
        <v>170</v>
      </c>
      <c r="L273" s="11"/>
      <c r="M273" s="18">
        <f t="shared" si="4"/>
        <v>16787.431</v>
      </c>
    </row>
    <row r="274" spans="1:13">
      <c r="A274" s="25" t="s">
        <v>101</v>
      </c>
      <c r="B274" s="25">
        <v>4</v>
      </c>
      <c r="C274" s="25">
        <v>3</v>
      </c>
      <c r="D274" s="20">
        <v>17886.37</v>
      </c>
      <c r="E274" s="20">
        <v>1388.499</v>
      </c>
      <c r="F274" s="20">
        <v>1497.87</v>
      </c>
      <c r="G274" s="20">
        <v>15000</v>
      </c>
      <c r="H274" s="27">
        <v>15</v>
      </c>
      <c r="I274" s="20">
        <v>68.823999999999998</v>
      </c>
      <c r="J274" s="11" t="s">
        <v>170</v>
      </c>
      <c r="K274" s="11" t="s">
        <v>170</v>
      </c>
      <c r="L274" s="11"/>
      <c r="M274" s="18">
        <f t="shared" si="4"/>
        <v>17886.37</v>
      </c>
    </row>
    <row r="275" spans="1:13">
      <c r="A275" s="25" t="s">
        <v>101</v>
      </c>
      <c r="B275" s="25">
        <v>5</v>
      </c>
      <c r="C275" s="25">
        <v>4</v>
      </c>
      <c r="D275" s="20">
        <v>17086.912</v>
      </c>
      <c r="E275" s="20">
        <v>1610.5360000000001</v>
      </c>
      <c r="F275" s="20">
        <v>1476.377</v>
      </c>
      <c r="G275" s="20">
        <v>14000</v>
      </c>
      <c r="H275" s="27">
        <v>14</v>
      </c>
      <c r="I275" s="20">
        <v>66.554000000000002</v>
      </c>
      <c r="J275" s="11" t="s">
        <v>170</v>
      </c>
      <c r="K275" s="11" t="s">
        <v>170</v>
      </c>
      <c r="L275" s="11"/>
      <c r="M275" s="18">
        <f t="shared" si="4"/>
        <v>17086.912</v>
      </c>
    </row>
    <row r="276" spans="1:13">
      <c r="A276" s="25" t="s">
        <v>103</v>
      </c>
      <c r="B276" s="25">
        <v>1</v>
      </c>
      <c r="C276" s="25">
        <v>0</v>
      </c>
      <c r="D276" s="20">
        <v>16645.833999999999</v>
      </c>
      <c r="E276" s="20">
        <v>2284.3209999999999</v>
      </c>
      <c r="F276" s="20">
        <v>1361.5129999999999</v>
      </c>
      <c r="G276" s="20">
        <v>13000</v>
      </c>
      <c r="H276" s="27">
        <v>13</v>
      </c>
      <c r="I276" s="20">
        <v>65.033000000000001</v>
      </c>
      <c r="J276" s="11" t="s">
        <v>170</v>
      </c>
      <c r="K276" s="11" t="s">
        <v>170</v>
      </c>
      <c r="L276" s="11"/>
      <c r="M276" s="18">
        <f t="shared" si="4"/>
        <v>16645.833999999999</v>
      </c>
    </row>
    <row r="277" spans="1:13">
      <c r="A277" s="25" t="s">
        <v>103</v>
      </c>
      <c r="B277" s="25">
        <v>2</v>
      </c>
      <c r="C277" s="25">
        <v>1</v>
      </c>
      <c r="D277" s="20">
        <v>17071.761999999999</v>
      </c>
      <c r="E277" s="20">
        <v>1682.77</v>
      </c>
      <c r="F277" s="20">
        <v>1388.9929999999999</v>
      </c>
      <c r="G277" s="20">
        <v>14000</v>
      </c>
      <c r="H277" s="27">
        <v>14</v>
      </c>
      <c r="I277" s="20">
        <v>55.537999999999997</v>
      </c>
      <c r="J277" s="11" t="s">
        <v>170</v>
      </c>
      <c r="K277" s="11" t="s">
        <v>170</v>
      </c>
      <c r="L277" s="11"/>
      <c r="M277" s="18">
        <f t="shared" si="4"/>
        <v>17071.761999999999</v>
      </c>
    </row>
    <row r="278" spans="1:13">
      <c r="A278" s="25" t="s">
        <v>103</v>
      </c>
      <c r="B278" s="25">
        <v>3</v>
      </c>
      <c r="C278" s="25">
        <v>2</v>
      </c>
      <c r="D278" s="20">
        <v>17144.589</v>
      </c>
      <c r="E278" s="20">
        <v>1773.539</v>
      </c>
      <c r="F278" s="20">
        <v>1371.05</v>
      </c>
      <c r="G278" s="20">
        <v>14000</v>
      </c>
      <c r="H278" s="27">
        <v>14</v>
      </c>
      <c r="I278" s="20">
        <v>58.253999999999998</v>
      </c>
      <c r="J278" s="11" t="s">
        <v>170</v>
      </c>
      <c r="K278" s="11" t="s">
        <v>170</v>
      </c>
      <c r="L278" s="11"/>
      <c r="M278" s="18">
        <f t="shared" si="4"/>
        <v>17144.589</v>
      </c>
    </row>
    <row r="279" spans="1:13">
      <c r="A279" s="25" t="s">
        <v>103</v>
      </c>
      <c r="B279" s="25">
        <v>4</v>
      </c>
      <c r="C279" s="25">
        <v>3</v>
      </c>
      <c r="D279" s="20">
        <v>17240.108</v>
      </c>
      <c r="E279" s="20">
        <v>1802.3610000000001</v>
      </c>
      <c r="F279" s="20">
        <v>1437.7460000000001</v>
      </c>
      <c r="G279" s="20">
        <v>14000</v>
      </c>
      <c r="H279" s="27">
        <v>14</v>
      </c>
      <c r="I279" s="20">
        <v>59.993000000000002</v>
      </c>
      <c r="J279" s="11" t="s">
        <v>170</v>
      </c>
      <c r="K279" s="11" t="s">
        <v>170</v>
      </c>
      <c r="L279" s="11"/>
      <c r="M279" s="18">
        <f t="shared" si="4"/>
        <v>17240.108</v>
      </c>
    </row>
    <row r="280" spans="1:13">
      <c r="A280" s="25" t="s">
        <v>103</v>
      </c>
      <c r="B280" s="25">
        <v>5</v>
      </c>
      <c r="C280" s="25">
        <v>4</v>
      </c>
      <c r="D280" s="20">
        <v>16591.124</v>
      </c>
      <c r="E280" s="20">
        <v>2199.942</v>
      </c>
      <c r="F280" s="20">
        <v>1391.182</v>
      </c>
      <c r="G280" s="20">
        <v>13000</v>
      </c>
      <c r="H280" s="27">
        <v>13</v>
      </c>
      <c r="I280" s="20">
        <v>65.128</v>
      </c>
      <c r="J280" s="11" t="s">
        <v>170</v>
      </c>
      <c r="K280" s="11" t="s">
        <v>170</v>
      </c>
      <c r="L280" s="11"/>
      <c r="M280" s="18">
        <f t="shared" si="4"/>
        <v>16591.124</v>
      </c>
    </row>
    <row r="281" spans="1:13">
      <c r="A281" s="25" t="s">
        <v>104</v>
      </c>
      <c r="B281" s="25">
        <v>1</v>
      </c>
      <c r="C281" s="25">
        <v>0</v>
      </c>
      <c r="D281" s="20">
        <v>4418.5839999999998</v>
      </c>
      <c r="E281" s="20">
        <v>3.5630000000000002</v>
      </c>
      <c r="F281" s="20">
        <v>1415.0219999999999</v>
      </c>
      <c r="G281" s="20">
        <v>3000</v>
      </c>
      <c r="H281" s="27">
        <v>3</v>
      </c>
      <c r="I281" s="20">
        <v>69.427000000000007</v>
      </c>
      <c r="J281" s="11" t="s">
        <v>170</v>
      </c>
      <c r="K281" s="11" t="s">
        <v>170</v>
      </c>
      <c r="L281" s="11"/>
      <c r="M281" s="18">
        <f t="shared" si="4"/>
        <v>4418.5839999999998</v>
      </c>
    </row>
    <row r="282" spans="1:13">
      <c r="A282" s="25" t="s">
        <v>104</v>
      </c>
      <c r="B282" s="25">
        <v>2</v>
      </c>
      <c r="C282" s="25">
        <v>1</v>
      </c>
      <c r="D282" s="20">
        <v>4366.6670000000004</v>
      </c>
      <c r="E282" s="20">
        <v>17.783999999999999</v>
      </c>
      <c r="F282" s="20">
        <v>1348.883</v>
      </c>
      <c r="G282" s="20">
        <v>3000</v>
      </c>
      <c r="H282" s="27">
        <v>3</v>
      </c>
      <c r="I282" s="20">
        <v>78.713999999999999</v>
      </c>
      <c r="J282" s="11" t="s">
        <v>170</v>
      </c>
      <c r="K282" s="11" t="s">
        <v>170</v>
      </c>
      <c r="L282" s="11"/>
      <c r="M282" s="18">
        <f t="shared" si="4"/>
        <v>4366.6670000000004</v>
      </c>
    </row>
    <row r="283" spans="1:13">
      <c r="A283" s="25" t="s">
        <v>104</v>
      </c>
      <c r="B283" s="25">
        <v>3</v>
      </c>
      <c r="C283" s="25">
        <v>2</v>
      </c>
      <c r="D283" s="20">
        <v>4443.0770000000002</v>
      </c>
      <c r="E283" s="20">
        <v>0.24</v>
      </c>
      <c r="F283" s="20">
        <v>1442.837</v>
      </c>
      <c r="G283" s="20">
        <v>3000</v>
      </c>
      <c r="H283" s="27">
        <v>3</v>
      </c>
      <c r="I283" s="20">
        <v>71.625</v>
      </c>
      <c r="J283" s="11" t="s">
        <v>170</v>
      </c>
      <c r="K283" s="11" t="s">
        <v>170</v>
      </c>
      <c r="L283" s="11"/>
      <c r="M283" s="18">
        <f t="shared" si="4"/>
        <v>4443.0770000000002</v>
      </c>
    </row>
    <row r="284" spans="1:13">
      <c r="A284" s="25" t="s">
        <v>104</v>
      </c>
      <c r="B284" s="25">
        <v>4</v>
      </c>
      <c r="C284" s="25">
        <v>3</v>
      </c>
      <c r="D284" s="20">
        <v>4288.527</v>
      </c>
      <c r="E284" s="20">
        <v>11.901999999999999</v>
      </c>
      <c r="F284" s="20">
        <v>1276.625</v>
      </c>
      <c r="G284" s="20">
        <v>3000</v>
      </c>
      <c r="H284" s="27">
        <v>3</v>
      </c>
      <c r="I284" s="20">
        <v>69.164000000000001</v>
      </c>
      <c r="J284" s="11" t="s">
        <v>170</v>
      </c>
      <c r="K284" s="11" t="s">
        <v>170</v>
      </c>
      <c r="L284" s="11"/>
      <c r="M284" s="18">
        <f t="shared" si="4"/>
        <v>4288.527</v>
      </c>
    </row>
    <row r="285" spans="1:13">
      <c r="A285" s="25" t="s">
        <v>104</v>
      </c>
      <c r="B285" s="25">
        <v>5</v>
      </c>
      <c r="C285" s="25">
        <v>4</v>
      </c>
      <c r="D285" s="20">
        <v>1833.3230000000001</v>
      </c>
      <c r="E285" s="20">
        <v>403.685</v>
      </c>
      <c r="F285" s="20">
        <v>1429.6379999999999</v>
      </c>
      <c r="G285" s="20">
        <v>0</v>
      </c>
      <c r="H285" s="27">
        <v>0</v>
      </c>
      <c r="I285" s="20">
        <v>79.210999999999999</v>
      </c>
      <c r="J285" s="11" t="s">
        <v>170</v>
      </c>
      <c r="K285" s="11" t="s">
        <v>170</v>
      </c>
      <c r="L285" s="11"/>
      <c r="M285" s="18">
        <f t="shared" si="4"/>
        <v>1833.3230000000001</v>
      </c>
    </row>
    <row r="286" spans="1:13">
      <c r="A286" s="25" t="s">
        <v>105</v>
      </c>
      <c r="B286" s="25">
        <v>1</v>
      </c>
      <c r="C286" s="25">
        <v>0</v>
      </c>
      <c r="D286" s="20">
        <v>4948.6319999999996</v>
      </c>
      <c r="E286" s="20">
        <v>580.4</v>
      </c>
      <c r="F286" s="20">
        <v>1368.232</v>
      </c>
      <c r="G286" s="20">
        <v>3000</v>
      </c>
      <c r="H286" s="27">
        <v>3</v>
      </c>
      <c r="I286" s="20">
        <v>69.186999999999998</v>
      </c>
      <c r="J286" s="11" t="s">
        <v>170</v>
      </c>
      <c r="K286" s="11" t="s">
        <v>170</v>
      </c>
      <c r="L286" s="11"/>
      <c r="M286" s="18">
        <f t="shared" si="4"/>
        <v>4948.6319999999996</v>
      </c>
    </row>
    <row r="287" spans="1:13">
      <c r="A287" s="25" t="s">
        <v>105</v>
      </c>
      <c r="B287" s="25">
        <v>2</v>
      </c>
      <c r="C287" s="25">
        <v>1</v>
      </c>
      <c r="D287" s="20">
        <v>5169.4930000000004</v>
      </c>
      <c r="E287" s="20">
        <v>727.39599999999996</v>
      </c>
      <c r="F287" s="20">
        <v>1442.096</v>
      </c>
      <c r="G287" s="20">
        <v>3000</v>
      </c>
      <c r="H287" s="27">
        <v>3</v>
      </c>
      <c r="I287" s="20">
        <v>76.042000000000002</v>
      </c>
      <c r="J287" s="11" t="s">
        <v>170</v>
      </c>
      <c r="K287" s="11" t="s">
        <v>170</v>
      </c>
      <c r="L287" s="11"/>
      <c r="M287" s="18">
        <f t="shared" si="4"/>
        <v>5169.4930000000004</v>
      </c>
    </row>
    <row r="288" spans="1:13">
      <c r="A288" s="25" t="s">
        <v>105</v>
      </c>
      <c r="B288" s="25">
        <v>3</v>
      </c>
      <c r="C288" s="25">
        <v>2</v>
      </c>
      <c r="D288" s="20">
        <v>5029.5249999999996</v>
      </c>
      <c r="E288" s="20">
        <v>571.58500000000004</v>
      </c>
      <c r="F288" s="20">
        <v>1457.94</v>
      </c>
      <c r="G288" s="20">
        <v>3000</v>
      </c>
      <c r="H288" s="27">
        <v>3</v>
      </c>
      <c r="I288" s="20">
        <v>75.805000000000007</v>
      </c>
      <c r="J288" s="11" t="s">
        <v>170</v>
      </c>
      <c r="K288" s="11" t="s">
        <v>170</v>
      </c>
      <c r="L288" s="11"/>
      <c r="M288" s="18">
        <f t="shared" si="4"/>
        <v>5029.5249999999996</v>
      </c>
    </row>
    <row r="289" spans="1:13">
      <c r="A289" s="25" t="s">
        <v>105</v>
      </c>
      <c r="B289" s="25">
        <v>4</v>
      </c>
      <c r="C289" s="25">
        <v>3</v>
      </c>
      <c r="D289" s="20">
        <v>2133.9059999999999</v>
      </c>
      <c r="E289" s="20">
        <v>790.46299999999997</v>
      </c>
      <c r="F289" s="20">
        <v>1343.443</v>
      </c>
      <c r="G289" s="20">
        <v>0</v>
      </c>
      <c r="H289" s="27">
        <v>0</v>
      </c>
      <c r="I289" s="20">
        <v>68.418999999999997</v>
      </c>
      <c r="J289" s="11" t="s">
        <v>170</v>
      </c>
      <c r="K289" s="11" t="s">
        <v>170</v>
      </c>
      <c r="L289" s="11"/>
      <c r="M289" s="18">
        <f t="shared" si="4"/>
        <v>2133.9059999999999</v>
      </c>
    </row>
    <row r="290" spans="1:13">
      <c r="A290" s="25" t="s">
        <v>105</v>
      </c>
      <c r="B290" s="25">
        <v>5</v>
      </c>
      <c r="C290" s="25">
        <v>4</v>
      </c>
      <c r="D290" s="20">
        <v>2830.3879999999999</v>
      </c>
      <c r="E290" s="20">
        <v>1307.335</v>
      </c>
      <c r="F290" s="20">
        <v>1523.0530000000001</v>
      </c>
      <c r="G290" s="20">
        <v>0</v>
      </c>
      <c r="H290" s="27">
        <v>0</v>
      </c>
      <c r="I290" s="20">
        <v>71.131</v>
      </c>
      <c r="J290" s="11" t="s">
        <v>170</v>
      </c>
      <c r="K290" s="11" t="s">
        <v>170</v>
      </c>
      <c r="L290" s="11"/>
      <c r="M290" s="18">
        <f t="shared" si="4"/>
        <v>2830.3879999999999</v>
      </c>
    </row>
    <row r="291" spans="1:13">
      <c r="A291" s="25" t="s">
        <v>106</v>
      </c>
      <c r="B291" s="25">
        <v>1</v>
      </c>
      <c r="C291" s="25">
        <v>0</v>
      </c>
      <c r="D291" s="20">
        <v>2795.665</v>
      </c>
      <c r="E291" s="20">
        <v>1322.664</v>
      </c>
      <c r="F291" s="20">
        <v>1473.001</v>
      </c>
      <c r="G291" s="20">
        <v>0</v>
      </c>
      <c r="H291" s="27">
        <v>0</v>
      </c>
      <c r="I291" s="20">
        <v>75.744</v>
      </c>
      <c r="J291" s="11" t="s">
        <v>170</v>
      </c>
      <c r="K291" s="11" t="s">
        <v>170</v>
      </c>
      <c r="L291" s="11"/>
      <c r="M291" s="18">
        <f t="shared" si="4"/>
        <v>2795.665</v>
      </c>
    </row>
    <row r="292" spans="1:13">
      <c r="A292" s="25" t="s">
        <v>106</v>
      </c>
      <c r="B292" s="25">
        <v>2</v>
      </c>
      <c r="C292" s="25">
        <v>1</v>
      </c>
      <c r="D292" s="20">
        <v>8324.9359999999997</v>
      </c>
      <c r="E292" s="20">
        <v>884.74</v>
      </c>
      <c r="F292" s="20">
        <v>1440.1949999999999</v>
      </c>
      <c r="G292" s="20">
        <v>6000</v>
      </c>
      <c r="H292" s="27">
        <v>6</v>
      </c>
      <c r="I292" s="20">
        <v>75.494</v>
      </c>
      <c r="J292" s="11" t="s">
        <v>170</v>
      </c>
      <c r="K292" s="11" t="s">
        <v>170</v>
      </c>
      <c r="L292" s="11"/>
      <c r="M292" s="18">
        <f t="shared" si="4"/>
        <v>8324.9359999999997</v>
      </c>
    </row>
    <row r="293" spans="1:13">
      <c r="A293" s="25" t="s">
        <v>106</v>
      </c>
      <c r="B293" s="25">
        <v>3</v>
      </c>
      <c r="C293" s="25">
        <v>2</v>
      </c>
      <c r="D293" s="20">
        <v>5617.2740000000003</v>
      </c>
      <c r="E293" s="20">
        <v>1271.33</v>
      </c>
      <c r="F293" s="20">
        <v>1345.9449999999999</v>
      </c>
      <c r="G293" s="20">
        <v>3000</v>
      </c>
      <c r="H293" s="27">
        <v>3</v>
      </c>
      <c r="I293" s="20">
        <v>74.02</v>
      </c>
      <c r="J293" s="11" t="s">
        <v>170</v>
      </c>
      <c r="K293" s="11" t="s">
        <v>170</v>
      </c>
      <c r="L293" s="11"/>
      <c r="M293" s="18">
        <f t="shared" si="4"/>
        <v>5617.2740000000003</v>
      </c>
    </row>
    <row r="294" spans="1:13">
      <c r="A294" s="25" t="s">
        <v>106</v>
      </c>
      <c r="B294" s="25">
        <v>4</v>
      </c>
      <c r="C294" s="25">
        <v>3</v>
      </c>
      <c r="D294" s="20">
        <v>5455.2619999999997</v>
      </c>
      <c r="E294" s="20">
        <v>1045.296</v>
      </c>
      <c r="F294" s="20">
        <v>1409.9659999999999</v>
      </c>
      <c r="G294" s="20">
        <v>3000</v>
      </c>
      <c r="H294" s="27">
        <v>3</v>
      </c>
      <c r="I294" s="20">
        <v>77.281999999999996</v>
      </c>
      <c r="J294" s="11" t="s">
        <v>170</v>
      </c>
      <c r="K294" s="11" t="s">
        <v>170</v>
      </c>
      <c r="L294" s="11"/>
      <c r="M294" s="18">
        <f t="shared" si="4"/>
        <v>5455.2619999999997</v>
      </c>
    </row>
    <row r="295" spans="1:13">
      <c r="A295" s="25" t="s">
        <v>106</v>
      </c>
      <c r="B295" s="25">
        <v>5</v>
      </c>
      <c r="C295" s="25">
        <v>4</v>
      </c>
      <c r="D295" s="20">
        <v>5715.3209999999999</v>
      </c>
      <c r="E295" s="20">
        <v>1344.2619999999999</v>
      </c>
      <c r="F295" s="20">
        <v>1371.059</v>
      </c>
      <c r="G295" s="20">
        <v>3000</v>
      </c>
      <c r="H295" s="27">
        <v>3</v>
      </c>
      <c r="I295" s="20">
        <v>73.344999999999999</v>
      </c>
      <c r="J295" s="11" t="s">
        <v>170</v>
      </c>
      <c r="K295" s="11" t="s">
        <v>170</v>
      </c>
      <c r="L295" s="11"/>
      <c r="M295" s="18">
        <f t="shared" si="4"/>
        <v>5715.3209999999999</v>
      </c>
    </row>
    <row r="296" spans="1:13">
      <c r="A296" s="25" t="s">
        <v>107</v>
      </c>
      <c r="B296" s="25">
        <v>1</v>
      </c>
      <c r="C296" s="25">
        <v>0</v>
      </c>
      <c r="D296" s="20">
        <v>3557.9009999999998</v>
      </c>
      <c r="E296" s="20">
        <v>2099.5340000000001</v>
      </c>
      <c r="F296" s="20">
        <v>1458.367</v>
      </c>
      <c r="G296" s="20">
        <v>0</v>
      </c>
      <c r="H296" s="27">
        <v>0</v>
      </c>
      <c r="I296" s="20">
        <v>71.332999999999998</v>
      </c>
      <c r="J296" s="11" t="s">
        <v>170</v>
      </c>
      <c r="K296" s="11" t="s">
        <v>170</v>
      </c>
      <c r="L296" s="11"/>
      <c r="M296" s="18">
        <f t="shared" si="4"/>
        <v>3557.9009999999998</v>
      </c>
    </row>
    <row r="297" spans="1:13">
      <c r="A297" s="25" t="s">
        <v>107</v>
      </c>
      <c r="B297" s="25">
        <v>2</v>
      </c>
      <c r="C297" s="25">
        <v>1</v>
      </c>
      <c r="D297" s="20">
        <v>6185.683</v>
      </c>
      <c r="E297" s="20">
        <v>1739.3340000000001</v>
      </c>
      <c r="F297" s="20">
        <v>1446.348</v>
      </c>
      <c r="G297" s="20">
        <v>3000</v>
      </c>
      <c r="H297" s="27">
        <v>3</v>
      </c>
      <c r="I297" s="20">
        <v>68.552999999999997</v>
      </c>
      <c r="J297" s="11" t="s">
        <v>170</v>
      </c>
      <c r="K297" s="11" t="s">
        <v>170</v>
      </c>
      <c r="L297" s="11"/>
      <c r="M297" s="18">
        <f t="shared" si="4"/>
        <v>6185.683</v>
      </c>
    </row>
    <row r="298" spans="1:13">
      <c r="A298" s="25" t="s">
        <v>107</v>
      </c>
      <c r="B298" s="25">
        <v>3</v>
      </c>
      <c r="C298" s="25">
        <v>2</v>
      </c>
      <c r="D298" s="20">
        <v>3663.598</v>
      </c>
      <c r="E298" s="20">
        <v>2144.6529999999998</v>
      </c>
      <c r="F298" s="20">
        <v>1518.9449999999999</v>
      </c>
      <c r="G298" s="20">
        <v>0</v>
      </c>
      <c r="H298" s="27">
        <v>0</v>
      </c>
      <c r="I298" s="20">
        <v>58.691000000000003</v>
      </c>
      <c r="J298" s="11" t="s">
        <v>170</v>
      </c>
      <c r="K298" s="11" t="s">
        <v>170</v>
      </c>
      <c r="L298" s="11"/>
      <c r="M298" s="18">
        <f t="shared" si="4"/>
        <v>3663.598</v>
      </c>
    </row>
    <row r="299" spans="1:13">
      <c r="A299" s="25" t="s">
        <v>107</v>
      </c>
      <c r="B299" s="25">
        <v>4</v>
      </c>
      <c r="C299" s="25">
        <v>3</v>
      </c>
      <c r="D299" s="20">
        <v>6372.49</v>
      </c>
      <c r="E299" s="20">
        <v>1900.768</v>
      </c>
      <c r="F299" s="20">
        <v>1471.723</v>
      </c>
      <c r="G299" s="20">
        <v>3000</v>
      </c>
      <c r="H299" s="27">
        <v>3</v>
      </c>
      <c r="I299" s="20">
        <v>71.001000000000005</v>
      </c>
      <c r="J299" s="11" t="s">
        <v>170</v>
      </c>
      <c r="K299" s="11" t="s">
        <v>170</v>
      </c>
      <c r="L299" s="11"/>
      <c r="M299" s="18">
        <f t="shared" si="4"/>
        <v>6372.49</v>
      </c>
    </row>
    <row r="300" spans="1:13">
      <c r="A300" s="25" t="s">
        <v>107</v>
      </c>
      <c r="B300" s="25">
        <v>5</v>
      </c>
      <c r="C300" s="25">
        <v>4</v>
      </c>
      <c r="D300" s="20">
        <v>3883.739</v>
      </c>
      <c r="E300" s="20">
        <v>2432.337</v>
      </c>
      <c r="F300" s="20">
        <v>1451.402</v>
      </c>
      <c r="G300" s="20">
        <v>0</v>
      </c>
      <c r="H300" s="27">
        <v>0</v>
      </c>
      <c r="I300" s="20">
        <v>74.057000000000002</v>
      </c>
      <c r="J300" s="11" t="s">
        <v>170</v>
      </c>
      <c r="K300" s="11" t="s">
        <v>170</v>
      </c>
      <c r="L300" s="11"/>
      <c r="M300" s="18">
        <f t="shared" si="4"/>
        <v>3883.739</v>
      </c>
    </row>
    <row r="301" spans="1:13">
      <c r="A301" s="25" t="s">
        <v>108</v>
      </c>
      <c r="B301" s="25">
        <v>1</v>
      </c>
      <c r="C301" s="25">
        <v>0</v>
      </c>
      <c r="D301" s="20">
        <v>4317.0079999999998</v>
      </c>
      <c r="E301" s="20">
        <v>2812.8629999999998</v>
      </c>
      <c r="F301" s="20">
        <v>1504.144</v>
      </c>
      <c r="G301" s="20">
        <v>0</v>
      </c>
      <c r="H301" s="27">
        <v>0</v>
      </c>
      <c r="I301" s="20">
        <v>69.935000000000002</v>
      </c>
      <c r="J301" s="11" t="s">
        <v>170</v>
      </c>
      <c r="K301" s="11" t="s">
        <v>170</v>
      </c>
      <c r="L301" s="11"/>
      <c r="M301" s="18">
        <f t="shared" si="4"/>
        <v>4317.0079999999998</v>
      </c>
    </row>
    <row r="302" spans="1:13">
      <c r="A302" s="25" t="s">
        <v>108</v>
      </c>
      <c r="B302" s="25">
        <v>2</v>
      </c>
      <c r="C302" s="25">
        <v>1</v>
      </c>
      <c r="D302" s="20">
        <v>3777.7420000000002</v>
      </c>
      <c r="E302" s="20">
        <v>2370.0390000000002</v>
      </c>
      <c r="F302" s="20">
        <v>1407.704</v>
      </c>
      <c r="G302" s="20">
        <v>0</v>
      </c>
      <c r="H302" s="27">
        <v>0</v>
      </c>
      <c r="I302" s="20">
        <v>68.623999999999995</v>
      </c>
      <c r="J302" s="11" t="s">
        <v>170</v>
      </c>
      <c r="K302" s="11" t="s">
        <v>170</v>
      </c>
      <c r="L302" s="11"/>
      <c r="M302" s="18">
        <f t="shared" si="4"/>
        <v>3777.7420000000002</v>
      </c>
    </row>
    <row r="303" spans="1:13">
      <c r="A303" s="25" t="s">
        <v>108</v>
      </c>
      <c r="B303" s="25">
        <v>3</v>
      </c>
      <c r="C303" s="25">
        <v>2</v>
      </c>
      <c r="D303" s="20">
        <v>4294.2950000000001</v>
      </c>
      <c r="E303" s="20">
        <v>2874.1709999999998</v>
      </c>
      <c r="F303" s="20">
        <v>1420.124</v>
      </c>
      <c r="G303" s="20">
        <v>0</v>
      </c>
      <c r="H303" s="27">
        <v>0</v>
      </c>
      <c r="I303" s="20">
        <v>71.599999999999994</v>
      </c>
      <c r="J303" s="11" t="s">
        <v>170</v>
      </c>
      <c r="K303" s="11" t="s">
        <v>170</v>
      </c>
      <c r="L303" s="11"/>
      <c r="M303" s="18">
        <f t="shared" si="4"/>
        <v>4294.2950000000001</v>
      </c>
    </row>
    <row r="304" spans="1:13">
      <c r="A304" s="25" t="s">
        <v>108</v>
      </c>
      <c r="B304" s="25">
        <v>4</v>
      </c>
      <c r="C304" s="25">
        <v>3</v>
      </c>
      <c r="D304" s="20">
        <v>4096.5330000000004</v>
      </c>
      <c r="E304" s="20">
        <v>2668.877</v>
      </c>
      <c r="F304" s="20">
        <v>1427.6559999999999</v>
      </c>
      <c r="G304" s="20">
        <v>0</v>
      </c>
      <c r="H304" s="27">
        <v>0</v>
      </c>
      <c r="I304" s="20">
        <v>71.209999999999994</v>
      </c>
      <c r="J304" s="11" t="s">
        <v>170</v>
      </c>
      <c r="K304" s="11" t="s">
        <v>170</v>
      </c>
      <c r="L304" s="11"/>
      <c r="M304" s="18">
        <f t="shared" si="4"/>
        <v>4096.5330000000004</v>
      </c>
    </row>
    <row r="305" spans="1:13">
      <c r="A305" s="25" t="s">
        <v>108</v>
      </c>
      <c r="B305" s="25">
        <v>5</v>
      </c>
      <c r="C305" s="25">
        <v>4</v>
      </c>
      <c r="D305" s="20">
        <v>4219.01</v>
      </c>
      <c r="E305" s="20">
        <v>2798.1729999999998</v>
      </c>
      <c r="F305" s="20">
        <v>1420.837</v>
      </c>
      <c r="G305" s="20">
        <v>0</v>
      </c>
      <c r="H305" s="27">
        <v>0</v>
      </c>
      <c r="I305" s="20">
        <v>61.598999999999997</v>
      </c>
      <c r="J305" s="11" t="s">
        <v>170</v>
      </c>
      <c r="K305" s="11" t="s">
        <v>170</v>
      </c>
      <c r="L305" s="11"/>
      <c r="M305" s="18">
        <f t="shared" si="4"/>
        <v>4219.01</v>
      </c>
    </row>
    <row r="306" spans="1:13">
      <c r="A306" s="25" t="s">
        <v>109</v>
      </c>
      <c r="B306" s="25">
        <v>1</v>
      </c>
      <c r="C306" s="25">
        <v>0</v>
      </c>
      <c r="D306" s="20">
        <v>29206.884999999998</v>
      </c>
      <c r="E306" s="20">
        <v>41.347999999999999</v>
      </c>
      <c r="F306" s="20">
        <v>1165.5360000000001</v>
      </c>
      <c r="G306" s="20">
        <v>28000</v>
      </c>
      <c r="H306" s="27">
        <v>28</v>
      </c>
      <c r="I306" s="20">
        <v>70.959999999999994</v>
      </c>
      <c r="J306" s="11" t="s">
        <v>170</v>
      </c>
      <c r="K306" s="11" t="s">
        <v>170</v>
      </c>
      <c r="L306" s="11"/>
      <c r="M306" s="18">
        <f t="shared" si="4"/>
        <v>29206.884999999998</v>
      </c>
    </row>
    <row r="307" spans="1:13">
      <c r="A307" s="25" t="s">
        <v>109</v>
      </c>
      <c r="B307" s="25">
        <v>2</v>
      </c>
      <c r="C307" s="25">
        <v>1</v>
      </c>
      <c r="D307" s="20">
        <v>31218.192999999999</v>
      </c>
      <c r="E307" s="20">
        <v>4.077</v>
      </c>
      <c r="F307" s="20">
        <v>1214.116</v>
      </c>
      <c r="G307" s="20">
        <v>30000</v>
      </c>
      <c r="H307" s="27">
        <v>30</v>
      </c>
      <c r="I307" s="20">
        <v>74.578999999999994</v>
      </c>
      <c r="J307" s="11" t="s">
        <v>170</v>
      </c>
      <c r="K307" s="11" t="s">
        <v>170</v>
      </c>
      <c r="L307" s="11"/>
      <c r="M307" s="18">
        <f t="shared" si="4"/>
        <v>31218.192999999999</v>
      </c>
    </row>
    <row r="308" spans="1:13">
      <c r="A308" s="25" t="s">
        <v>109</v>
      </c>
      <c r="B308" s="25">
        <v>3</v>
      </c>
      <c r="C308" s="25">
        <v>2</v>
      </c>
      <c r="D308" s="20">
        <v>31434.654999999999</v>
      </c>
      <c r="E308" s="20">
        <v>149.31200000000001</v>
      </c>
      <c r="F308" s="20">
        <v>1285.3430000000001</v>
      </c>
      <c r="G308" s="20">
        <v>30000</v>
      </c>
      <c r="H308" s="27">
        <v>30</v>
      </c>
      <c r="I308" s="20">
        <v>72.872</v>
      </c>
      <c r="J308" s="11" t="s">
        <v>170</v>
      </c>
      <c r="K308" s="11" t="s">
        <v>170</v>
      </c>
      <c r="L308" s="11"/>
      <c r="M308" s="18">
        <f t="shared" si="4"/>
        <v>31434.654999999999</v>
      </c>
    </row>
    <row r="309" spans="1:13">
      <c r="A309" s="25" t="s">
        <v>109</v>
      </c>
      <c r="B309" s="25">
        <v>4</v>
      </c>
      <c r="C309" s="25">
        <v>3</v>
      </c>
      <c r="D309" s="20">
        <v>25292.845000000001</v>
      </c>
      <c r="E309" s="20">
        <v>92.02</v>
      </c>
      <c r="F309" s="20">
        <v>1200.825</v>
      </c>
      <c r="G309" s="20">
        <v>24000</v>
      </c>
      <c r="H309" s="27">
        <v>24</v>
      </c>
      <c r="I309" s="20">
        <v>67.460999999999999</v>
      </c>
      <c r="J309" s="11" t="s">
        <v>170</v>
      </c>
      <c r="K309" s="11" t="s">
        <v>170</v>
      </c>
      <c r="L309" s="11"/>
      <c r="M309" s="18">
        <f t="shared" si="4"/>
        <v>25292.845000000001</v>
      </c>
    </row>
    <row r="310" spans="1:13">
      <c r="A310" s="25" t="s">
        <v>109</v>
      </c>
      <c r="B310" s="25">
        <v>5</v>
      </c>
      <c r="C310" s="25">
        <v>4</v>
      </c>
      <c r="D310" s="20">
        <v>28400.010999999999</v>
      </c>
      <c r="E310" s="20">
        <v>79.103999999999999</v>
      </c>
      <c r="F310" s="20">
        <v>1320.9069999999999</v>
      </c>
      <c r="G310" s="20">
        <v>27000</v>
      </c>
      <c r="H310" s="27">
        <v>27</v>
      </c>
      <c r="I310" s="20">
        <v>66.450999999999993</v>
      </c>
      <c r="J310" s="11" t="s">
        <v>170</v>
      </c>
      <c r="K310" s="11" t="s">
        <v>170</v>
      </c>
      <c r="L310" s="11"/>
      <c r="M310" s="18">
        <f t="shared" si="4"/>
        <v>28400.010999999999</v>
      </c>
    </row>
    <row r="311" spans="1:13">
      <c r="A311" s="25" t="s">
        <v>110</v>
      </c>
      <c r="B311" s="25">
        <v>1</v>
      </c>
      <c r="C311" s="25">
        <v>0</v>
      </c>
      <c r="D311" s="20">
        <v>22898.368999999999</v>
      </c>
      <c r="E311" s="20">
        <v>677.18399999999997</v>
      </c>
      <c r="F311" s="20">
        <v>1221.1849999999999</v>
      </c>
      <c r="G311" s="20">
        <v>21000</v>
      </c>
      <c r="H311" s="27">
        <v>21</v>
      </c>
      <c r="I311" s="20">
        <v>76.322999999999993</v>
      </c>
      <c r="J311" s="11" t="s">
        <v>170</v>
      </c>
      <c r="K311" s="11" t="s">
        <v>170</v>
      </c>
      <c r="L311" s="11"/>
      <c r="M311" s="18">
        <f t="shared" si="4"/>
        <v>22898.368999999999</v>
      </c>
    </row>
    <row r="312" spans="1:13">
      <c r="A312" s="25" t="s">
        <v>110</v>
      </c>
      <c r="B312" s="25">
        <v>2</v>
      </c>
      <c r="C312" s="25">
        <v>1</v>
      </c>
      <c r="D312" s="20">
        <v>25368.039000000001</v>
      </c>
      <c r="E312" s="20">
        <v>184.51900000000001</v>
      </c>
      <c r="F312" s="20">
        <v>1183.521</v>
      </c>
      <c r="G312" s="20">
        <v>24000</v>
      </c>
      <c r="H312" s="27">
        <v>24</v>
      </c>
      <c r="I312" s="20">
        <v>70.284999999999997</v>
      </c>
      <c r="J312" s="11" t="s">
        <v>170</v>
      </c>
      <c r="K312" s="11" t="s">
        <v>170</v>
      </c>
      <c r="L312" s="11"/>
      <c r="M312" s="18">
        <f t="shared" si="4"/>
        <v>25368.039000000001</v>
      </c>
    </row>
    <row r="313" spans="1:13">
      <c r="A313" s="25" t="s">
        <v>110</v>
      </c>
      <c r="B313" s="25">
        <v>3</v>
      </c>
      <c r="C313" s="25">
        <v>2</v>
      </c>
      <c r="D313" s="20">
        <v>21682.159</v>
      </c>
      <c r="E313" s="20">
        <v>568.91200000000003</v>
      </c>
      <c r="F313" s="20">
        <v>1113.2470000000001</v>
      </c>
      <c r="G313" s="20">
        <v>20000</v>
      </c>
      <c r="H313" s="27">
        <v>20</v>
      </c>
      <c r="I313" s="20">
        <v>75.414000000000001</v>
      </c>
      <c r="J313" s="11" t="s">
        <v>170</v>
      </c>
      <c r="K313" s="11" t="s">
        <v>170</v>
      </c>
      <c r="L313" s="11"/>
      <c r="M313" s="18">
        <f t="shared" si="4"/>
        <v>21682.159</v>
      </c>
    </row>
    <row r="314" spans="1:13">
      <c r="A314" s="25" t="s">
        <v>110</v>
      </c>
      <c r="B314" s="25">
        <v>4</v>
      </c>
      <c r="C314" s="25">
        <v>3</v>
      </c>
      <c r="D314" s="20">
        <v>21615.776000000002</v>
      </c>
      <c r="E314" s="20">
        <v>422.00599999999997</v>
      </c>
      <c r="F314" s="20">
        <v>1193.77</v>
      </c>
      <c r="G314" s="20">
        <v>20000</v>
      </c>
      <c r="H314" s="27">
        <v>20</v>
      </c>
      <c r="I314" s="20">
        <v>74.168999999999997</v>
      </c>
      <c r="J314" s="11" t="s">
        <v>170</v>
      </c>
      <c r="K314" s="11" t="s">
        <v>170</v>
      </c>
      <c r="L314" s="11"/>
      <c r="M314" s="18">
        <f t="shared" si="4"/>
        <v>21615.776000000002</v>
      </c>
    </row>
    <row r="315" spans="1:13">
      <c r="A315" s="25" t="s">
        <v>110</v>
      </c>
      <c r="B315" s="25">
        <v>5</v>
      </c>
      <c r="C315" s="25">
        <v>4</v>
      </c>
      <c r="D315" s="20">
        <v>21153.404999999999</v>
      </c>
      <c r="E315" s="20">
        <v>988.56200000000001</v>
      </c>
      <c r="F315" s="20">
        <v>1164.8440000000001</v>
      </c>
      <c r="G315" s="20">
        <v>19000</v>
      </c>
      <c r="H315" s="27">
        <v>19</v>
      </c>
      <c r="I315" s="20">
        <v>75.790000000000006</v>
      </c>
      <c r="J315" s="11" t="s">
        <v>170</v>
      </c>
      <c r="K315" s="11" t="s">
        <v>170</v>
      </c>
      <c r="L315" s="11"/>
      <c r="M315" s="18">
        <f t="shared" si="4"/>
        <v>21153.404999999999</v>
      </c>
    </row>
    <row r="316" spans="1:13">
      <c r="A316" s="25" t="s">
        <v>112</v>
      </c>
      <c r="B316" s="25">
        <v>1</v>
      </c>
      <c r="C316" s="25">
        <v>0</v>
      </c>
      <c r="D316" s="20">
        <v>24360.728999999999</v>
      </c>
      <c r="E316" s="20">
        <v>1207.251</v>
      </c>
      <c r="F316" s="20">
        <v>1153.4780000000001</v>
      </c>
      <c r="G316" s="20">
        <v>22000</v>
      </c>
      <c r="H316" s="27">
        <v>22</v>
      </c>
      <c r="I316" s="20">
        <v>71.174999999999997</v>
      </c>
      <c r="J316" s="11" t="s">
        <v>170</v>
      </c>
      <c r="K316" s="11" t="s">
        <v>170</v>
      </c>
      <c r="L316" s="11"/>
      <c r="M316" s="18">
        <f t="shared" si="4"/>
        <v>24360.728999999999</v>
      </c>
    </row>
    <row r="317" spans="1:13">
      <c r="A317" s="25" t="s">
        <v>112</v>
      </c>
      <c r="B317" s="25">
        <v>2</v>
      </c>
      <c r="C317" s="25">
        <v>1</v>
      </c>
      <c r="D317" s="20">
        <v>29591.897000000001</v>
      </c>
      <c r="E317" s="20">
        <v>1356.269</v>
      </c>
      <c r="F317" s="20">
        <v>1235.627</v>
      </c>
      <c r="G317" s="20">
        <v>27000</v>
      </c>
      <c r="H317" s="27">
        <v>27</v>
      </c>
      <c r="I317" s="20">
        <v>66.825999999999993</v>
      </c>
      <c r="J317" s="11" t="s">
        <v>170</v>
      </c>
      <c r="K317" s="11" t="s">
        <v>170</v>
      </c>
      <c r="L317" s="11"/>
      <c r="M317" s="18">
        <f t="shared" si="4"/>
        <v>29591.897000000001</v>
      </c>
    </row>
    <row r="318" spans="1:13">
      <c r="A318" s="25" t="s">
        <v>112</v>
      </c>
      <c r="B318" s="25">
        <v>3</v>
      </c>
      <c r="C318" s="25">
        <v>2</v>
      </c>
      <c r="D318" s="20">
        <v>19600.833999999999</v>
      </c>
      <c r="E318" s="20">
        <v>1344.3579999999999</v>
      </c>
      <c r="F318" s="20">
        <v>1256.4760000000001</v>
      </c>
      <c r="G318" s="20">
        <v>17000</v>
      </c>
      <c r="H318" s="27">
        <v>17</v>
      </c>
      <c r="I318" s="20">
        <v>70.626000000000005</v>
      </c>
      <c r="J318" s="11" t="s">
        <v>170</v>
      </c>
      <c r="K318" s="11" t="s">
        <v>170</v>
      </c>
      <c r="L318" s="11"/>
      <c r="M318" s="18">
        <f t="shared" si="4"/>
        <v>19600.833999999999</v>
      </c>
    </row>
    <row r="319" spans="1:13">
      <c r="A319" s="25" t="s">
        <v>112</v>
      </c>
      <c r="B319" s="25">
        <v>4</v>
      </c>
      <c r="C319" s="25">
        <v>3</v>
      </c>
      <c r="D319" s="20">
        <v>26095.062000000002</v>
      </c>
      <c r="E319" s="20">
        <v>810.64</v>
      </c>
      <c r="F319" s="20">
        <v>1284.422</v>
      </c>
      <c r="G319" s="20">
        <v>24000</v>
      </c>
      <c r="H319" s="27">
        <v>24</v>
      </c>
      <c r="I319" s="20">
        <v>72.655000000000001</v>
      </c>
      <c r="J319" s="11" t="s">
        <v>170</v>
      </c>
      <c r="K319" s="11" t="s">
        <v>170</v>
      </c>
      <c r="L319" s="11"/>
      <c r="M319" s="18">
        <f t="shared" si="4"/>
        <v>26095.062000000002</v>
      </c>
    </row>
    <row r="320" spans="1:13">
      <c r="A320" s="25" t="s">
        <v>112</v>
      </c>
      <c r="B320" s="25">
        <v>5</v>
      </c>
      <c r="C320" s="25">
        <v>4</v>
      </c>
      <c r="D320" s="20">
        <v>28416.351999999999</v>
      </c>
      <c r="E320" s="20">
        <v>1165.636</v>
      </c>
      <c r="F320" s="20">
        <v>1250.7159999999999</v>
      </c>
      <c r="G320" s="20">
        <v>26000</v>
      </c>
      <c r="H320" s="27">
        <v>26</v>
      </c>
      <c r="I320" s="20">
        <v>76.692999999999998</v>
      </c>
      <c r="J320" s="11" t="s">
        <v>170</v>
      </c>
      <c r="K320" s="11" t="s">
        <v>170</v>
      </c>
      <c r="L320" s="11"/>
      <c r="M320" s="18">
        <f t="shared" si="4"/>
        <v>28416.351999999999</v>
      </c>
    </row>
    <row r="321" spans="1:13">
      <c r="A321" s="25" t="s">
        <v>113</v>
      </c>
      <c r="B321" s="25">
        <v>1</v>
      </c>
      <c r="C321" s="25">
        <v>0</v>
      </c>
      <c r="D321" s="20">
        <v>22584.928</v>
      </c>
      <c r="E321" s="20">
        <v>2464.3939999999998</v>
      </c>
      <c r="F321" s="20">
        <v>1120.5329999999999</v>
      </c>
      <c r="G321" s="20">
        <v>19000</v>
      </c>
      <c r="H321" s="27">
        <v>19</v>
      </c>
      <c r="I321" s="20">
        <v>65.77</v>
      </c>
      <c r="J321" s="11" t="s">
        <v>170</v>
      </c>
      <c r="K321" s="11" t="s">
        <v>170</v>
      </c>
      <c r="L321" s="11"/>
      <c r="M321" s="18">
        <f t="shared" si="4"/>
        <v>22584.928</v>
      </c>
    </row>
    <row r="322" spans="1:13">
      <c r="A322" s="25" t="s">
        <v>113</v>
      </c>
      <c r="B322" s="25">
        <v>2</v>
      </c>
      <c r="C322" s="25">
        <v>1</v>
      </c>
      <c r="D322" s="20">
        <v>25343.645</v>
      </c>
      <c r="E322" s="20">
        <v>2169.9850000000001</v>
      </c>
      <c r="F322" s="20">
        <v>1173.6600000000001</v>
      </c>
      <c r="G322" s="20">
        <v>22000</v>
      </c>
      <c r="H322" s="27">
        <v>22</v>
      </c>
      <c r="I322" s="20">
        <v>72.956999999999994</v>
      </c>
      <c r="J322" s="11" t="s">
        <v>170</v>
      </c>
      <c r="K322" s="11" t="s">
        <v>170</v>
      </c>
      <c r="L322" s="11"/>
      <c r="M322" s="18">
        <f t="shared" si="4"/>
        <v>25343.645</v>
      </c>
    </row>
    <row r="323" spans="1:13">
      <c r="A323" s="25" t="s">
        <v>113</v>
      </c>
      <c r="B323" s="25">
        <v>3</v>
      </c>
      <c r="C323" s="25">
        <v>2</v>
      </c>
      <c r="D323" s="20">
        <v>23872.072</v>
      </c>
      <c r="E323" s="20">
        <v>2615.6370000000002</v>
      </c>
      <c r="F323" s="20">
        <v>1256.4359999999999</v>
      </c>
      <c r="G323" s="20">
        <v>20000</v>
      </c>
      <c r="H323" s="27">
        <v>20</v>
      </c>
      <c r="I323" s="20">
        <v>72.885999999999996</v>
      </c>
      <c r="J323" s="11" t="s">
        <v>170</v>
      </c>
      <c r="K323" s="11" t="s">
        <v>170</v>
      </c>
      <c r="L323" s="11"/>
      <c r="M323" s="18">
        <f t="shared" si="4"/>
        <v>23872.072</v>
      </c>
    </row>
    <row r="324" spans="1:13">
      <c r="A324" s="25" t="s">
        <v>113</v>
      </c>
      <c r="B324" s="25">
        <v>4</v>
      </c>
      <c r="C324" s="25">
        <v>3</v>
      </c>
      <c r="D324" s="20">
        <v>22622.431</v>
      </c>
      <c r="E324" s="20">
        <v>2407.6559999999999</v>
      </c>
      <c r="F324" s="20">
        <v>1214.7750000000001</v>
      </c>
      <c r="G324" s="20">
        <v>19000</v>
      </c>
      <c r="H324" s="27">
        <v>19</v>
      </c>
      <c r="I324" s="20">
        <v>68.914000000000001</v>
      </c>
      <c r="J324" s="11" t="s">
        <v>170</v>
      </c>
      <c r="K324" s="11" t="s">
        <v>170</v>
      </c>
      <c r="L324" s="11"/>
      <c r="M324" s="18">
        <f t="shared" si="4"/>
        <v>22622.431</v>
      </c>
    </row>
    <row r="325" spans="1:13">
      <c r="A325" s="25" t="s">
        <v>113</v>
      </c>
      <c r="B325" s="25">
        <v>5</v>
      </c>
      <c r="C325" s="25">
        <v>4</v>
      </c>
      <c r="D325" s="20">
        <v>25457.008999999998</v>
      </c>
      <c r="E325" s="20">
        <v>2200.105</v>
      </c>
      <c r="F325" s="20">
        <v>1256.904</v>
      </c>
      <c r="G325" s="20">
        <v>22000</v>
      </c>
      <c r="H325" s="27">
        <v>22</v>
      </c>
      <c r="I325" s="20">
        <v>73.23</v>
      </c>
      <c r="J325" s="11" t="s">
        <v>170</v>
      </c>
      <c r="K325" s="11" t="s">
        <v>170</v>
      </c>
      <c r="L325" s="11"/>
      <c r="M325" s="18">
        <f t="shared" si="4"/>
        <v>25457.008999999998</v>
      </c>
    </row>
    <row r="326" spans="1:13">
      <c r="A326" s="25" t="s">
        <v>114</v>
      </c>
      <c r="B326" s="25">
        <v>1</v>
      </c>
      <c r="C326" s="25">
        <v>0</v>
      </c>
      <c r="D326" s="20">
        <v>25416.011999999999</v>
      </c>
      <c r="E326" s="20">
        <v>2156.3249999999998</v>
      </c>
      <c r="F326" s="20">
        <v>1259.6869999999999</v>
      </c>
      <c r="G326" s="20">
        <v>22000</v>
      </c>
      <c r="H326" s="27">
        <v>22</v>
      </c>
      <c r="I326" s="20">
        <v>63.573999999999998</v>
      </c>
      <c r="J326" s="11" t="s">
        <v>170</v>
      </c>
      <c r="K326" s="11" t="s">
        <v>170</v>
      </c>
      <c r="L326" s="11"/>
      <c r="M326" s="18">
        <f t="shared" ref="M326:M389" si="5">IF(AND(J326="Yes",K326="Yes",ISNUMBER(D326)),D326,"")</f>
        <v>25416.011999999999</v>
      </c>
    </row>
    <row r="327" spans="1:13">
      <c r="A327" s="25" t="s">
        <v>114</v>
      </c>
      <c r="B327" s="25">
        <v>2</v>
      </c>
      <c r="C327" s="25">
        <v>1</v>
      </c>
      <c r="D327" s="20">
        <v>22705.532999999999</v>
      </c>
      <c r="E327" s="20">
        <v>2556.5509999999999</v>
      </c>
      <c r="F327" s="20">
        <v>1148.982</v>
      </c>
      <c r="G327" s="20">
        <v>19000</v>
      </c>
      <c r="H327" s="27">
        <v>19</v>
      </c>
      <c r="I327" s="20">
        <v>53.412999999999997</v>
      </c>
      <c r="J327" s="11" t="s">
        <v>170</v>
      </c>
      <c r="K327" s="11" t="s">
        <v>170</v>
      </c>
      <c r="L327" s="11"/>
      <c r="M327" s="18">
        <f t="shared" si="5"/>
        <v>22705.532999999999</v>
      </c>
    </row>
    <row r="328" spans="1:13">
      <c r="A328" s="25" t="s">
        <v>114</v>
      </c>
      <c r="B328" s="25">
        <v>3</v>
      </c>
      <c r="C328" s="25">
        <v>2</v>
      </c>
      <c r="D328" s="20">
        <v>20084.794999999998</v>
      </c>
      <c r="E328" s="20">
        <v>2820.3139999999999</v>
      </c>
      <c r="F328" s="20">
        <v>1264.482</v>
      </c>
      <c r="G328" s="20">
        <v>16000</v>
      </c>
      <c r="H328" s="27">
        <v>16</v>
      </c>
      <c r="I328" s="20">
        <v>69.165000000000006</v>
      </c>
      <c r="J328" s="11" t="s">
        <v>170</v>
      </c>
      <c r="K328" s="11" t="s">
        <v>170</v>
      </c>
      <c r="L328" s="11"/>
      <c r="M328" s="18">
        <f t="shared" si="5"/>
        <v>20084.794999999998</v>
      </c>
    </row>
    <row r="329" spans="1:13">
      <c r="A329" s="25" t="s">
        <v>114</v>
      </c>
      <c r="B329" s="25">
        <v>4</v>
      </c>
      <c r="C329" s="25">
        <v>3</v>
      </c>
      <c r="D329" s="20">
        <v>26807.839</v>
      </c>
      <c r="E329" s="20">
        <v>2597.6529999999998</v>
      </c>
      <c r="F329" s="20">
        <v>1210.1869999999999</v>
      </c>
      <c r="G329" s="20">
        <v>23000</v>
      </c>
      <c r="H329" s="27">
        <v>23</v>
      </c>
      <c r="I329" s="20">
        <v>73.028000000000006</v>
      </c>
      <c r="J329" s="11" t="s">
        <v>170</v>
      </c>
      <c r="K329" s="11" t="s">
        <v>170</v>
      </c>
      <c r="L329" s="11"/>
      <c r="M329" s="18">
        <f t="shared" si="5"/>
        <v>26807.839</v>
      </c>
    </row>
    <row r="330" spans="1:13">
      <c r="A330" s="25" t="s">
        <v>114</v>
      </c>
      <c r="B330" s="25">
        <v>5</v>
      </c>
      <c r="C330" s="25">
        <v>4</v>
      </c>
      <c r="D330" s="20">
        <v>22992.094000000001</v>
      </c>
      <c r="E330" s="20">
        <v>2654.8440000000001</v>
      </c>
      <c r="F330" s="20">
        <v>1337.251</v>
      </c>
      <c r="G330" s="20">
        <v>19000</v>
      </c>
      <c r="H330" s="27">
        <v>19</v>
      </c>
      <c r="I330" s="20">
        <v>67.540000000000006</v>
      </c>
      <c r="J330" s="11" t="s">
        <v>170</v>
      </c>
      <c r="K330" s="11" t="s">
        <v>170</v>
      </c>
      <c r="L330" s="11"/>
      <c r="M330" s="18">
        <f t="shared" si="5"/>
        <v>22992.094000000001</v>
      </c>
    </row>
    <row r="331" spans="1:13">
      <c r="A331" s="25" t="s">
        <v>115</v>
      </c>
      <c r="B331" s="25">
        <v>1</v>
      </c>
      <c r="C331" s="25">
        <v>0</v>
      </c>
      <c r="D331" s="20">
        <v>16870.335999999999</v>
      </c>
      <c r="E331" s="20">
        <v>590.41099999999994</v>
      </c>
      <c r="F331" s="20">
        <v>1279.924</v>
      </c>
      <c r="G331" s="20">
        <v>15000</v>
      </c>
      <c r="H331" s="27">
        <v>15</v>
      </c>
      <c r="I331" s="20">
        <v>65.983000000000004</v>
      </c>
      <c r="J331" s="11" t="s">
        <v>170</v>
      </c>
      <c r="K331" s="11" t="s">
        <v>170</v>
      </c>
      <c r="L331" s="11"/>
      <c r="M331" s="18">
        <f t="shared" si="5"/>
        <v>16870.335999999999</v>
      </c>
    </row>
    <row r="332" spans="1:13">
      <c r="A332" s="25" t="s">
        <v>115</v>
      </c>
      <c r="B332" s="25">
        <v>2</v>
      </c>
      <c r="C332" s="25">
        <v>1</v>
      </c>
      <c r="D332" s="20">
        <v>15790.066999999999</v>
      </c>
      <c r="E332" s="20">
        <v>566.29499999999996</v>
      </c>
      <c r="F332" s="20">
        <v>1223.7719999999999</v>
      </c>
      <c r="G332" s="20">
        <v>14000</v>
      </c>
      <c r="H332" s="27">
        <v>14</v>
      </c>
      <c r="I332" s="20">
        <v>66.486999999999995</v>
      </c>
      <c r="J332" s="11" t="s">
        <v>170</v>
      </c>
      <c r="K332" s="11" t="s">
        <v>170</v>
      </c>
      <c r="L332" s="11"/>
      <c r="M332" s="18">
        <f t="shared" si="5"/>
        <v>15790.066999999999</v>
      </c>
    </row>
    <row r="333" spans="1:13">
      <c r="A333" s="25" t="s">
        <v>115</v>
      </c>
      <c r="B333" s="25">
        <v>3</v>
      </c>
      <c r="C333" s="25">
        <v>2</v>
      </c>
      <c r="D333" s="20">
        <v>19081.362000000001</v>
      </c>
      <c r="E333" s="20">
        <v>695.32399999999996</v>
      </c>
      <c r="F333" s="20">
        <v>1386.038</v>
      </c>
      <c r="G333" s="20">
        <v>17000</v>
      </c>
      <c r="H333" s="27">
        <v>17</v>
      </c>
      <c r="I333" s="20">
        <v>71.632999999999996</v>
      </c>
      <c r="J333" s="11" t="s">
        <v>170</v>
      </c>
      <c r="K333" s="11" t="s">
        <v>170</v>
      </c>
      <c r="L333" s="11"/>
      <c r="M333" s="18">
        <f t="shared" si="5"/>
        <v>19081.362000000001</v>
      </c>
    </row>
    <row r="334" spans="1:13">
      <c r="A334" s="25" t="s">
        <v>115</v>
      </c>
      <c r="B334" s="25">
        <v>4</v>
      </c>
      <c r="C334" s="25">
        <v>3</v>
      </c>
      <c r="D334" s="20">
        <v>14605.217000000001</v>
      </c>
      <c r="E334" s="20">
        <v>286.03800000000001</v>
      </c>
      <c r="F334" s="20">
        <v>1319.1790000000001</v>
      </c>
      <c r="G334" s="20">
        <v>13000</v>
      </c>
      <c r="H334" s="27">
        <v>13</v>
      </c>
      <c r="I334" s="20">
        <v>69.578000000000003</v>
      </c>
      <c r="J334" s="11" t="s">
        <v>170</v>
      </c>
      <c r="K334" s="11" t="s">
        <v>170</v>
      </c>
      <c r="L334" s="11"/>
      <c r="M334" s="18">
        <f t="shared" si="5"/>
        <v>14605.217000000001</v>
      </c>
    </row>
    <row r="335" spans="1:13">
      <c r="A335" s="25" t="s">
        <v>115</v>
      </c>
      <c r="B335" s="25">
        <v>5</v>
      </c>
      <c r="C335" s="25">
        <v>4</v>
      </c>
      <c r="D335" s="20">
        <v>19724.602999999999</v>
      </c>
      <c r="E335" s="20">
        <v>507.83</v>
      </c>
      <c r="F335" s="20">
        <v>1216.7719999999999</v>
      </c>
      <c r="G335" s="20">
        <v>18000</v>
      </c>
      <c r="H335" s="27">
        <v>18</v>
      </c>
      <c r="I335" s="20">
        <v>62.414999999999999</v>
      </c>
      <c r="J335" s="11" t="s">
        <v>170</v>
      </c>
      <c r="K335" s="11" t="s">
        <v>170</v>
      </c>
      <c r="L335" s="11"/>
      <c r="M335" s="18">
        <f t="shared" si="5"/>
        <v>19724.602999999999</v>
      </c>
    </row>
    <row r="336" spans="1:13">
      <c r="A336" s="25" t="s">
        <v>116</v>
      </c>
      <c r="B336" s="25">
        <v>1</v>
      </c>
      <c r="C336" s="25">
        <v>0</v>
      </c>
      <c r="D336" s="20">
        <v>17360.927</v>
      </c>
      <c r="E336" s="20">
        <v>1055.816</v>
      </c>
      <c r="F336" s="20">
        <v>1305.1099999999999</v>
      </c>
      <c r="G336" s="20">
        <v>15000</v>
      </c>
      <c r="H336" s="27">
        <v>15</v>
      </c>
      <c r="I336" s="20">
        <v>65.489999999999995</v>
      </c>
      <c r="J336" s="11" t="s">
        <v>170</v>
      </c>
      <c r="K336" s="11" t="s">
        <v>170</v>
      </c>
      <c r="L336" s="11"/>
      <c r="M336" s="18">
        <f t="shared" si="5"/>
        <v>17360.927</v>
      </c>
    </row>
    <row r="337" spans="1:13">
      <c r="A337" s="25" t="s">
        <v>116</v>
      </c>
      <c r="B337" s="25">
        <v>2</v>
      </c>
      <c r="C337" s="25">
        <v>1</v>
      </c>
      <c r="D337" s="20">
        <v>13970.39</v>
      </c>
      <c r="E337" s="20">
        <v>581.19799999999998</v>
      </c>
      <c r="F337" s="20">
        <v>1389.192</v>
      </c>
      <c r="G337" s="20">
        <v>12000</v>
      </c>
      <c r="H337" s="27">
        <v>12</v>
      </c>
      <c r="I337" s="20">
        <v>70.5</v>
      </c>
      <c r="J337" s="11" t="s">
        <v>170</v>
      </c>
      <c r="K337" s="11" t="s">
        <v>170</v>
      </c>
      <c r="L337" s="11"/>
      <c r="M337" s="18">
        <f t="shared" si="5"/>
        <v>13970.39</v>
      </c>
    </row>
    <row r="338" spans="1:13">
      <c r="A338" s="25" t="s">
        <v>116</v>
      </c>
      <c r="B338" s="25">
        <v>3</v>
      </c>
      <c r="C338" s="25">
        <v>2</v>
      </c>
      <c r="D338" s="20">
        <v>17070.994999999999</v>
      </c>
      <c r="E338" s="20">
        <v>743.072</v>
      </c>
      <c r="F338" s="20">
        <v>1327.923</v>
      </c>
      <c r="G338" s="20">
        <v>15000</v>
      </c>
      <c r="H338" s="27">
        <v>15</v>
      </c>
      <c r="I338" s="20">
        <v>66.968000000000004</v>
      </c>
      <c r="J338" s="11" t="s">
        <v>170</v>
      </c>
      <c r="K338" s="11" t="s">
        <v>170</v>
      </c>
      <c r="L338" s="11"/>
      <c r="M338" s="18">
        <f t="shared" si="5"/>
        <v>17070.994999999999</v>
      </c>
    </row>
    <row r="339" spans="1:13">
      <c r="A339" s="25" t="s">
        <v>116</v>
      </c>
      <c r="B339" s="25">
        <v>4</v>
      </c>
      <c r="C339" s="25">
        <v>3</v>
      </c>
      <c r="D339" s="20">
        <v>15760.416999999999</v>
      </c>
      <c r="E339" s="20">
        <v>366.11799999999999</v>
      </c>
      <c r="F339" s="20">
        <v>1394.299</v>
      </c>
      <c r="G339" s="20">
        <v>14000</v>
      </c>
      <c r="H339" s="27">
        <v>14</v>
      </c>
      <c r="I339" s="20">
        <v>62.624000000000002</v>
      </c>
      <c r="J339" s="11" t="s">
        <v>170</v>
      </c>
      <c r="K339" s="11" t="s">
        <v>170</v>
      </c>
      <c r="L339" s="11"/>
      <c r="M339" s="18">
        <f t="shared" si="5"/>
        <v>15760.416999999999</v>
      </c>
    </row>
    <row r="340" spans="1:13">
      <c r="A340" s="25" t="s">
        <v>116</v>
      </c>
      <c r="B340" s="25">
        <v>5</v>
      </c>
      <c r="C340" s="25">
        <v>4</v>
      </c>
      <c r="D340" s="20">
        <v>17417.830000000002</v>
      </c>
      <c r="E340" s="20">
        <v>974.846</v>
      </c>
      <c r="F340" s="20">
        <v>1442.9839999999999</v>
      </c>
      <c r="G340" s="20">
        <v>15000</v>
      </c>
      <c r="H340" s="27">
        <v>15</v>
      </c>
      <c r="I340" s="20">
        <v>64.707999999999998</v>
      </c>
      <c r="J340" s="11" t="s">
        <v>170</v>
      </c>
      <c r="K340" s="11" t="s">
        <v>170</v>
      </c>
      <c r="L340" s="11"/>
      <c r="M340" s="18">
        <f t="shared" si="5"/>
        <v>17417.830000000002</v>
      </c>
    </row>
    <row r="341" spans="1:13">
      <c r="A341" s="25" t="s">
        <v>117</v>
      </c>
      <c r="B341" s="25">
        <v>1</v>
      </c>
      <c r="C341" s="25">
        <v>0</v>
      </c>
      <c r="D341" s="20">
        <v>17503.366999999998</v>
      </c>
      <c r="E341" s="20">
        <v>1180.914</v>
      </c>
      <c r="F341" s="20">
        <v>1322.453</v>
      </c>
      <c r="G341" s="20">
        <v>15000</v>
      </c>
      <c r="H341" s="27">
        <v>15</v>
      </c>
      <c r="I341" s="20">
        <v>60.631</v>
      </c>
      <c r="J341" s="11" t="s">
        <v>170</v>
      </c>
      <c r="K341" s="11" t="s">
        <v>170</v>
      </c>
      <c r="L341" s="11"/>
      <c r="M341" s="18">
        <f t="shared" si="5"/>
        <v>17503.366999999998</v>
      </c>
    </row>
    <row r="342" spans="1:13">
      <c r="A342" s="25" t="s">
        <v>117</v>
      </c>
      <c r="B342" s="25">
        <v>2</v>
      </c>
      <c r="C342" s="25">
        <v>1</v>
      </c>
      <c r="D342" s="20">
        <v>20795.432000000001</v>
      </c>
      <c r="E342" s="20">
        <v>1339.1590000000001</v>
      </c>
      <c r="F342" s="20">
        <v>1456.2729999999999</v>
      </c>
      <c r="G342" s="20">
        <v>18000</v>
      </c>
      <c r="H342" s="27">
        <v>18</v>
      </c>
      <c r="I342" s="20">
        <v>65.308999999999997</v>
      </c>
      <c r="J342" s="11" t="s">
        <v>170</v>
      </c>
      <c r="K342" s="11" t="s">
        <v>170</v>
      </c>
      <c r="L342" s="11"/>
      <c r="M342" s="18">
        <f t="shared" si="5"/>
        <v>20795.432000000001</v>
      </c>
    </row>
    <row r="343" spans="1:13">
      <c r="A343" s="25" t="s">
        <v>117</v>
      </c>
      <c r="B343" s="25">
        <v>3</v>
      </c>
      <c r="C343" s="25">
        <v>2</v>
      </c>
      <c r="D343" s="20">
        <v>17218.321</v>
      </c>
      <c r="E343" s="20">
        <v>945.09699999999998</v>
      </c>
      <c r="F343" s="20">
        <v>1273.223</v>
      </c>
      <c r="G343" s="20">
        <v>15000</v>
      </c>
      <c r="H343" s="27">
        <v>15</v>
      </c>
      <c r="I343" s="20">
        <v>65.769000000000005</v>
      </c>
      <c r="J343" s="11" t="s">
        <v>170</v>
      </c>
      <c r="K343" s="11" t="s">
        <v>170</v>
      </c>
      <c r="L343" s="11"/>
      <c r="M343" s="18">
        <f t="shared" si="5"/>
        <v>17218.321</v>
      </c>
    </row>
    <row r="344" spans="1:13">
      <c r="A344" s="25" t="s">
        <v>117</v>
      </c>
      <c r="B344" s="25">
        <v>4</v>
      </c>
      <c r="C344" s="25">
        <v>3</v>
      </c>
      <c r="D344" s="20">
        <v>21452.498</v>
      </c>
      <c r="E344" s="20">
        <v>1083.2719999999999</v>
      </c>
      <c r="F344" s="20">
        <v>1369.2260000000001</v>
      </c>
      <c r="G344" s="20">
        <v>19000</v>
      </c>
      <c r="H344" s="27">
        <v>19</v>
      </c>
      <c r="I344" s="20">
        <v>63.48</v>
      </c>
      <c r="J344" s="11" t="s">
        <v>170</v>
      </c>
      <c r="K344" s="11" t="s">
        <v>170</v>
      </c>
      <c r="L344" s="11"/>
      <c r="M344" s="18">
        <f t="shared" si="5"/>
        <v>21452.498</v>
      </c>
    </row>
    <row r="345" spans="1:13">
      <c r="A345" s="25" t="s">
        <v>117</v>
      </c>
      <c r="B345" s="25">
        <v>5</v>
      </c>
      <c r="C345" s="25">
        <v>4</v>
      </c>
      <c r="D345" s="20">
        <v>16561.702000000001</v>
      </c>
      <c r="E345" s="20">
        <v>1175.4090000000001</v>
      </c>
      <c r="F345" s="20">
        <v>1386.2929999999999</v>
      </c>
      <c r="G345" s="20">
        <v>14000</v>
      </c>
      <c r="H345" s="27">
        <v>14</v>
      </c>
      <c r="I345" s="20">
        <v>65.957999999999998</v>
      </c>
      <c r="J345" s="11" t="s">
        <v>170</v>
      </c>
      <c r="K345" s="11" t="s">
        <v>170</v>
      </c>
      <c r="L345" s="11"/>
      <c r="M345" s="18">
        <f t="shared" si="5"/>
        <v>16561.702000000001</v>
      </c>
    </row>
    <row r="346" spans="1:13">
      <c r="A346" s="25" t="s">
        <v>118</v>
      </c>
      <c r="B346" s="25">
        <v>1</v>
      </c>
      <c r="C346" s="25">
        <v>0</v>
      </c>
      <c r="D346" s="20">
        <v>17069.812000000002</v>
      </c>
      <c r="E346" s="20">
        <v>1629.5219999999999</v>
      </c>
      <c r="F346" s="20">
        <v>1440.29</v>
      </c>
      <c r="G346" s="20">
        <v>14000</v>
      </c>
      <c r="H346" s="27">
        <v>14</v>
      </c>
      <c r="I346" s="20">
        <v>56.5</v>
      </c>
      <c r="J346" s="11" t="s">
        <v>170</v>
      </c>
      <c r="K346" s="11" t="s">
        <v>170</v>
      </c>
      <c r="L346" s="11"/>
      <c r="M346" s="18">
        <f t="shared" si="5"/>
        <v>17069.812000000002</v>
      </c>
    </row>
    <row r="347" spans="1:13">
      <c r="A347" s="25" t="s">
        <v>118</v>
      </c>
      <c r="B347" s="25">
        <v>2</v>
      </c>
      <c r="C347" s="25">
        <v>1</v>
      </c>
      <c r="D347" s="20">
        <v>17323.929</v>
      </c>
      <c r="E347" s="20">
        <v>1831.009</v>
      </c>
      <c r="F347" s="20">
        <v>1492.92</v>
      </c>
      <c r="G347" s="20">
        <v>14000</v>
      </c>
      <c r="H347" s="27">
        <v>14</v>
      </c>
      <c r="I347" s="20">
        <v>60.655999999999999</v>
      </c>
      <c r="J347" s="11" t="s">
        <v>170</v>
      </c>
      <c r="K347" s="11" t="s">
        <v>170</v>
      </c>
      <c r="L347" s="11"/>
      <c r="M347" s="18">
        <f t="shared" si="5"/>
        <v>17323.929</v>
      </c>
    </row>
    <row r="348" spans="1:13">
      <c r="A348" s="25" t="s">
        <v>118</v>
      </c>
      <c r="B348" s="25">
        <v>3</v>
      </c>
      <c r="C348" s="25">
        <v>2</v>
      </c>
      <c r="D348" s="20">
        <v>14533.278</v>
      </c>
      <c r="E348" s="20">
        <v>2040.19</v>
      </c>
      <c r="F348" s="20">
        <v>1493.088</v>
      </c>
      <c r="G348" s="20">
        <v>11000</v>
      </c>
      <c r="H348" s="27">
        <v>11</v>
      </c>
      <c r="I348" s="20">
        <v>58.545000000000002</v>
      </c>
      <c r="J348" s="11" t="s">
        <v>170</v>
      </c>
      <c r="K348" s="11" t="s">
        <v>170</v>
      </c>
      <c r="L348" s="11"/>
      <c r="M348" s="18">
        <f t="shared" si="5"/>
        <v>14533.278</v>
      </c>
    </row>
    <row r="349" spans="1:13">
      <c r="A349" s="25" t="s">
        <v>118</v>
      </c>
      <c r="B349" s="25">
        <v>4</v>
      </c>
      <c r="C349" s="25">
        <v>3</v>
      </c>
      <c r="D349" s="20">
        <v>19647.256000000001</v>
      </c>
      <c r="E349" s="20">
        <v>1232.3130000000001</v>
      </c>
      <c r="F349" s="20">
        <v>1414.943</v>
      </c>
      <c r="G349" s="20">
        <v>17000</v>
      </c>
      <c r="H349" s="27">
        <v>17</v>
      </c>
      <c r="I349" s="20">
        <v>64.218000000000004</v>
      </c>
      <c r="J349" s="11" t="s">
        <v>170</v>
      </c>
      <c r="K349" s="11" t="s">
        <v>170</v>
      </c>
      <c r="L349" s="11"/>
      <c r="M349" s="18">
        <f t="shared" si="5"/>
        <v>19647.256000000001</v>
      </c>
    </row>
    <row r="350" spans="1:13">
      <c r="A350" s="25" t="s">
        <v>118</v>
      </c>
      <c r="B350" s="25">
        <v>5</v>
      </c>
      <c r="C350" s="25">
        <v>4</v>
      </c>
      <c r="D350" s="20">
        <v>18005.256000000001</v>
      </c>
      <c r="E350" s="20">
        <v>1547.296</v>
      </c>
      <c r="F350" s="20">
        <v>1457.96</v>
      </c>
      <c r="G350" s="20">
        <v>15000</v>
      </c>
      <c r="H350" s="27">
        <v>15</v>
      </c>
      <c r="I350" s="20">
        <v>58.243000000000002</v>
      </c>
      <c r="J350" s="11" t="s">
        <v>170</v>
      </c>
      <c r="K350" s="11" t="s">
        <v>170</v>
      </c>
      <c r="L350" s="11"/>
      <c r="M350" s="18">
        <f t="shared" si="5"/>
        <v>18005.256000000001</v>
      </c>
    </row>
    <row r="351" spans="1:13">
      <c r="A351" s="25" t="s">
        <v>119</v>
      </c>
      <c r="B351" s="25">
        <v>1</v>
      </c>
      <c r="C351" s="25">
        <v>0</v>
      </c>
      <c r="D351" s="20">
        <v>17526.259999999998</v>
      </c>
      <c r="E351" s="20">
        <v>2074.4349999999999</v>
      </c>
      <c r="F351" s="20">
        <v>1451.825</v>
      </c>
      <c r="G351" s="20">
        <v>14000</v>
      </c>
      <c r="H351" s="27">
        <v>14</v>
      </c>
      <c r="I351" s="20">
        <v>59.741999999999997</v>
      </c>
      <c r="J351" s="11" t="s">
        <v>170</v>
      </c>
      <c r="K351" s="11" t="s">
        <v>170</v>
      </c>
      <c r="L351" s="11"/>
      <c r="M351" s="18">
        <f t="shared" si="5"/>
        <v>17526.259999999998</v>
      </c>
    </row>
    <row r="352" spans="1:13">
      <c r="A352" s="25" t="s">
        <v>119</v>
      </c>
      <c r="B352" s="25">
        <v>2</v>
      </c>
      <c r="C352" s="25">
        <v>1</v>
      </c>
      <c r="D352" s="20">
        <v>14552.112999999999</v>
      </c>
      <c r="E352" s="20">
        <v>2166.752</v>
      </c>
      <c r="F352" s="20">
        <v>1385.36</v>
      </c>
      <c r="G352" s="20">
        <v>11000</v>
      </c>
      <c r="H352" s="27">
        <v>11</v>
      </c>
      <c r="I352" s="20">
        <v>63.598999999999997</v>
      </c>
      <c r="J352" s="11" t="s">
        <v>170</v>
      </c>
      <c r="K352" s="11" t="s">
        <v>170</v>
      </c>
      <c r="L352" s="11"/>
      <c r="M352" s="18">
        <f t="shared" si="5"/>
        <v>14552.112999999999</v>
      </c>
    </row>
    <row r="353" spans="1:13">
      <c r="A353" s="25" t="s">
        <v>119</v>
      </c>
      <c r="B353" s="25">
        <v>3</v>
      </c>
      <c r="C353" s="25">
        <v>2</v>
      </c>
      <c r="D353" s="20">
        <v>14565.808000000001</v>
      </c>
      <c r="E353" s="20">
        <v>2109.9340000000002</v>
      </c>
      <c r="F353" s="20">
        <v>1455.874</v>
      </c>
      <c r="G353" s="20">
        <v>11000</v>
      </c>
      <c r="H353" s="27">
        <v>11</v>
      </c>
      <c r="I353" s="20">
        <v>63.749000000000002</v>
      </c>
      <c r="J353" s="11" t="s">
        <v>170</v>
      </c>
      <c r="K353" s="11" t="s">
        <v>170</v>
      </c>
      <c r="L353" s="11"/>
      <c r="M353" s="18">
        <f t="shared" si="5"/>
        <v>14565.808000000001</v>
      </c>
    </row>
    <row r="354" spans="1:13">
      <c r="A354" s="25" t="s">
        <v>119</v>
      </c>
      <c r="B354" s="25">
        <v>4</v>
      </c>
      <c r="C354" s="25">
        <v>3</v>
      </c>
      <c r="D354" s="20">
        <v>14708.752</v>
      </c>
      <c r="E354" s="20">
        <v>2205.3780000000002</v>
      </c>
      <c r="F354" s="20">
        <v>1503.375</v>
      </c>
      <c r="G354" s="20">
        <v>11000</v>
      </c>
      <c r="H354" s="27">
        <v>11</v>
      </c>
      <c r="I354" s="20">
        <v>55.097000000000001</v>
      </c>
      <c r="J354" s="11" t="s">
        <v>170</v>
      </c>
      <c r="K354" s="11" t="s">
        <v>170</v>
      </c>
      <c r="L354" s="11"/>
      <c r="M354" s="18">
        <f t="shared" si="5"/>
        <v>14708.752</v>
      </c>
    </row>
    <row r="355" spans="1:13">
      <c r="A355" s="25" t="s">
        <v>119</v>
      </c>
      <c r="B355" s="25">
        <v>5</v>
      </c>
      <c r="C355" s="25">
        <v>4</v>
      </c>
      <c r="D355" s="20">
        <v>17692.16</v>
      </c>
      <c r="E355" s="20">
        <v>2259.047</v>
      </c>
      <c r="F355" s="20">
        <v>1433.1120000000001</v>
      </c>
      <c r="G355" s="20">
        <v>14000</v>
      </c>
      <c r="H355" s="27">
        <v>14</v>
      </c>
      <c r="I355" s="20">
        <v>66.093000000000004</v>
      </c>
      <c r="J355" s="11" t="s">
        <v>170</v>
      </c>
      <c r="K355" s="11" t="s">
        <v>170</v>
      </c>
      <c r="L355" s="11"/>
      <c r="M355" s="18">
        <f t="shared" si="5"/>
        <v>17692.16</v>
      </c>
    </row>
    <row r="356" spans="1:13">
      <c r="A356" s="25" t="s">
        <v>120</v>
      </c>
      <c r="B356" s="25">
        <v>1</v>
      </c>
      <c r="C356" s="25">
        <v>0</v>
      </c>
      <c r="D356" s="20">
        <v>20372.038</v>
      </c>
      <c r="E356" s="20">
        <v>170.25200000000001</v>
      </c>
      <c r="F356" s="20">
        <v>1201.7850000000001</v>
      </c>
      <c r="G356" s="20">
        <v>19000</v>
      </c>
      <c r="H356" s="27">
        <v>19</v>
      </c>
      <c r="I356" s="20">
        <v>73.78</v>
      </c>
      <c r="J356" s="11" t="s">
        <v>170</v>
      </c>
      <c r="K356" s="11" t="s">
        <v>170</v>
      </c>
      <c r="L356" s="11"/>
      <c r="M356" s="18">
        <f t="shared" si="5"/>
        <v>20372.038</v>
      </c>
    </row>
    <row r="357" spans="1:13">
      <c r="A357" s="25" t="s">
        <v>120</v>
      </c>
      <c r="B357" s="25">
        <v>2</v>
      </c>
      <c r="C357" s="25">
        <v>1</v>
      </c>
      <c r="D357" s="20">
        <v>24261.383000000002</v>
      </c>
      <c r="E357" s="20">
        <v>105.416</v>
      </c>
      <c r="F357" s="20">
        <v>1155.9670000000001</v>
      </c>
      <c r="G357" s="20">
        <v>23000</v>
      </c>
      <c r="H357" s="27">
        <v>23</v>
      </c>
      <c r="I357" s="20">
        <v>70.983000000000004</v>
      </c>
      <c r="J357" s="11" t="s">
        <v>170</v>
      </c>
      <c r="K357" s="11" t="s">
        <v>170</v>
      </c>
      <c r="L357" s="11"/>
      <c r="M357" s="18">
        <f t="shared" si="5"/>
        <v>24261.383000000002</v>
      </c>
    </row>
    <row r="358" spans="1:13">
      <c r="A358" s="25" t="s">
        <v>120</v>
      </c>
      <c r="B358" s="25">
        <v>3</v>
      </c>
      <c r="C358" s="25">
        <v>2</v>
      </c>
      <c r="D358" s="20">
        <v>20384.191999999999</v>
      </c>
      <c r="E358" s="20">
        <v>201.148</v>
      </c>
      <c r="F358" s="20">
        <v>1183.0440000000001</v>
      </c>
      <c r="G358" s="20">
        <v>19000</v>
      </c>
      <c r="H358" s="27">
        <v>19</v>
      </c>
      <c r="I358" s="20">
        <v>69.772999999999996</v>
      </c>
      <c r="J358" s="11" t="s">
        <v>170</v>
      </c>
      <c r="K358" s="11" t="s">
        <v>170</v>
      </c>
      <c r="L358" s="11"/>
      <c r="M358" s="18">
        <f t="shared" si="5"/>
        <v>20384.191999999999</v>
      </c>
    </row>
    <row r="359" spans="1:13">
      <c r="A359" s="25" t="s">
        <v>120</v>
      </c>
      <c r="B359" s="25">
        <v>4</v>
      </c>
      <c r="C359" s="25">
        <v>3</v>
      </c>
      <c r="D359" s="20">
        <v>19540.096000000001</v>
      </c>
      <c r="E359" s="20">
        <v>276.61500000000001</v>
      </c>
      <c r="F359" s="20">
        <v>1263.481</v>
      </c>
      <c r="G359" s="20">
        <v>18000</v>
      </c>
      <c r="H359" s="27">
        <v>18</v>
      </c>
      <c r="I359" s="20">
        <v>65.789000000000001</v>
      </c>
      <c r="J359" s="11" t="s">
        <v>170</v>
      </c>
      <c r="K359" s="11" t="s">
        <v>170</v>
      </c>
      <c r="L359" s="11"/>
      <c r="M359" s="18">
        <f t="shared" si="5"/>
        <v>19540.096000000001</v>
      </c>
    </row>
    <row r="360" spans="1:13">
      <c r="A360" s="25" t="s">
        <v>120</v>
      </c>
      <c r="B360" s="25">
        <v>5</v>
      </c>
      <c r="C360" s="25">
        <v>4</v>
      </c>
      <c r="D360" s="20">
        <v>19425.553</v>
      </c>
      <c r="E360" s="20">
        <v>205.167</v>
      </c>
      <c r="F360" s="20">
        <v>1220.386</v>
      </c>
      <c r="G360" s="20">
        <v>18000</v>
      </c>
      <c r="H360" s="27">
        <v>18</v>
      </c>
      <c r="I360" s="20">
        <v>72.274000000000001</v>
      </c>
      <c r="J360" s="11" t="s">
        <v>170</v>
      </c>
      <c r="K360" s="11" t="s">
        <v>170</v>
      </c>
      <c r="L360" s="11"/>
      <c r="M360" s="18">
        <f t="shared" si="5"/>
        <v>19425.553</v>
      </c>
    </row>
    <row r="361" spans="1:13">
      <c r="A361" s="25" t="s">
        <v>122</v>
      </c>
      <c r="B361" s="25">
        <v>1</v>
      </c>
      <c r="C361" s="25">
        <v>0</v>
      </c>
      <c r="D361" s="20">
        <v>16731.978999999999</v>
      </c>
      <c r="E361" s="20">
        <v>531.47</v>
      </c>
      <c r="F361" s="20">
        <v>1200.509</v>
      </c>
      <c r="G361" s="20">
        <v>15000</v>
      </c>
      <c r="H361" s="27">
        <v>15</v>
      </c>
      <c r="I361" s="20">
        <v>71.055000000000007</v>
      </c>
      <c r="J361" s="11" t="s">
        <v>170</v>
      </c>
      <c r="K361" s="11" t="s">
        <v>170</v>
      </c>
      <c r="L361" s="11"/>
      <c r="M361" s="18">
        <f t="shared" si="5"/>
        <v>16731.978999999999</v>
      </c>
    </row>
    <row r="362" spans="1:13">
      <c r="A362" s="25" t="s">
        <v>122</v>
      </c>
      <c r="B362" s="25">
        <v>2</v>
      </c>
      <c r="C362" s="25">
        <v>1</v>
      </c>
      <c r="D362" s="20">
        <v>23787.809000000001</v>
      </c>
      <c r="E362" s="20">
        <v>465.06099999999998</v>
      </c>
      <c r="F362" s="20">
        <v>1322.749</v>
      </c>
      <c r="G362" s="20">
        <v>22000</v>
      </c>
      <c r="H362" s="27">
        <v>22</v>
      </c>
      <c r="I362" s="20">
        <v>69.331000000000003</v>
      </c>
      <c r="J362" s="11" t="s">
        <v>170</v>
      </c>
      <c r="K362" s="11" t="s">
        <v>170</v>
      </c>
      <c r="L362" s="11"/>
      <c r="M362" s="18">
        <f t="shared" si="5"/>
        <v>23787.809000000001</v>
      </c>
    </row>
    <row r="363" spans="1:13">
      <c r="A363" s="25" t="s">
        <v>122</v>
      </c>
      <c r="B363" s="25">
        <v>3</v>
      </c>
      <c r="C363" s="25">
        <v>2</v>
      </c>
      <c r="D363" s="20">
        <v>20066.716</v>
      </c>
      <c r="E363" s="20">
        <v>788.55399999999997</v>
      </c>
      <c r="F363" s="20">
        <v>1278.162</v>
      </c>
      <c r="G363" s="20">
        <v>18000</v>
      </c>
      <c r="H363" s="27">
        <v>18</v>
      </c>
      <c r="I363" s="20">
        <v>66.376999999999995</v>
      </c>
      <c r="J363" s="11" t="s">
        <v>170</v>
      </c>
      <c r="K363" s="11" t="s">
        <v>170</v>
      </c>
      <c r="L363" s="11"/>
      <c r="M363" s="18">
        <f t="shared" si="5"/>
        <v>20066.716</v>
      </c>
    </row>
    <row r="364" spans="1:13">
      <c r="A364" s="25" t="s">
        <v>122</v>
      </c>
      <c r="B364" s="25">
        <v>4</v>
      </c>
      <c r="C364" s="25">
        <v>3</v>
      </c>
      <c r="D364" s="20">
        <v>18218.988000000001</v>
      </c>
      <c r="E364" s="20">
        <v>992.44500000000005</v>
      </c>
      <c r="F364" s="20">
        <v>1226.5429999999999</v>
      </c>
      <c r="G364" s="20">
        <v>16000</v>
      </c>
      <c r="H364" s="27">
        <v>16</v>
      </c>
      <c r="I364" s="20">
        <v>64.570999999999998</v>
      </c>
      <c r="J364" s="11" t="s">
        <v>170</v>
      </c>
      <c r="K364" s="11" t="s">
        <v>170</v>
      </c>
      <c r="L364" s="11"/>
      <c r="M364" s="18">
        <f t="shared" si="5"/>
        <v>18218.988000000001</v>
      </c>
    </row>
    <row r="365" spans="1:13">
      <c r="A365" s="25" t="s">
        <v>122</v>
      </c>
      <c r="B365" s="25">
        <v>5</v>
      </c>
      <c r="C365" s="25">
        <v>4</v>
      </c>
      <c r="D365" s="20">
        <v>17953.16</v>
      </c>
      <c r="E365" s="20">
        <v>770.32500000000005</v>
      </c>
      <c r="F365" s="20">
        <v>1182.835</v>
      </c>
      <c r="G365" s="20">
        <v>16000</v>
      </c>
      <c r="H365" s="27">
        <v>16</v>
      </c>
      <c r="I365" s="20">
        <v>62.970999999999997</v>
      </c>
      <c r="J365" s="11" t="s">
        <v>170</v>
      </c>
      <c r="K365" s="11" t="s">
        <v>170</v>
      </c>
      <c r="L365" s="11"/>
      <c r="M365" s="18">
        <f t="shared" si="5"/>
        <v>17953.16</v>
      </c>
    </row>
    <row r="366" spans="1:13">
      <c r="A366" s="25" t="s">
        <v>124</v>
      </c>
      <c r="B366" s="25">
        <v>1</v>
      </c>
      <c r="C366" s="25">
        <v>0</v>
      </c>
      <c r="D366" s="20">
        <v>20331.637999999999</v>
      </c>
      <c r="E366" s="20">
        <v>1042.8119999999999</v>
      </c>
      <c r="F366" s="20">
        <v>1288.825</v>
      </c>
      <c r="G366" s="20">
        <v>18000</v>
      </c>
      <c r="H366" s="27">
        <v>18</v>
      </c>
      <c r="I366" s="20">
        <v>69.63</v>
      </c>
      <c r="J366" s="11" t="s">
        <v>170</v>
      </c>
      <c r="K366" s="11" t="s">
        <v>170</v>
      </c>
      <c r="L366" s="11"/>
      <c r="M366" s="18">
        <f t="shared" si="5"/>
        <v>20331.637999999999</v>
      </c>
    </row>
    <row r="367" spans="1:13">
      <c r="A367" s="25" t="s">
        <v>124</v>
      </c>
      <c r="B367" s="25">
        <v>2</v>
      </c>
      <c r="C367" s="25">
        <v>1</v>
      </c>
      <c r="D367" s="20">
        <v>20151.723000000002</v>
      </c>
      <c r="E367" s="20">
        <v>908.048</v>
      </c>
      <c r="F367" s="20">
        <v>1243.675</v>
      </c>
      <c r="G367" s="20">
        <v>18000</v>
      </c>
      <c r="H367" s="27">
        <v>18</v>
      </c>
      <c r="I367" s="20">
        <v>74.643000000000001</v>
      </c>
      <c r="J367" s="11" t="s">
        <v>170</v>
      </c>
      <c r="K367" s="11" t="s">
        <v>170</v>
      </c>
      <c r="L367" s="11"/>
      <c r="M367" s="18">
        <f t="shared" si="5"/>
        <v>20151.723000000002</v>
      </c>
    </row>
    <row r="368" spans="1:13">
      <c r="A368" s="25" t="s">
        <v>124</v>
      </c>
      <c r="B368" s="25">
        <v>3</v>
      </c>
      <c r="C368" s="25">
        <v>2</v>
      </c>
      <c r="D368" s="20">
        <v>20246.447</v>
      </c>
      <c r="E368" s="20">
        <v>957.06299999999999</v>
      </c>
      <c r="F368" s="20">
        <v>1289.384</v>
      </c>
      <c r="G368" s="20">
        <v>18000</v>
      </c>
      <c r="H368" s="27">
        <v>18</v>
      </c>
      <c r="I368" s="20">
        <v>66.387</v>
      </c>
      <c r="J368" s="11" t="s">
        <v>170</v>
      </c>
      <c r="K368" s="11" t="s">
        <v>170</v>
      </c>
      <c r="L368" s="11"/>
      <c r="M368" s="18">
        <f t="shared" si="5"/>
        <v>20246.447</v>
      </c>
    </row>
    <row r="369" spans="1:13">
      <c r="A369" s="25" t="s">
        <v>124</v>
      </c>
      <c r="B369" s="25">
        <v>4</v>
      </c>
      <c r="C369" s="25">
        <v>3</v>
      </c>
      <c r="D369" s="20">
        <v>20456.123</v>
      </c>
      <c r="E369" s="20">
        <v>1169.5640000000001</v>
      </c>
      <c r="F369" s="20">
        <v>1286.56</v>
      </c>
      <c r="G369" s="20">
        <v>18000</v>
      </c>
      <c r="H369" s="27">
        <v>18</v>
      </c>
      <c r="I369" s="20">
        <v>72.234999999999999</v>
      </c>
      <c r="J369" s="11" t="s">
        <v>170</v>
      </c>
      <c r="K369" s="11" t="s">
        <v>170</v>
      </c>
      <c r="L369" s="11"/>
      <c r="M369" s="18">
        <f t="shared" si="5"/>
        <v>20456.123</v>
      </c>
    </row>
    <row r="370" spans="1:13">
      <c r="A370" s="25" t="s">
        <v>124</v>
      </c>
      <c r="B370" s="25">
        <v>5</v>
      </c>
      <c r="C370" s="25">
        <v>4</v>
      </c>
      <c r="D370" s="20">
        <v>20312.302</v>
      </c>
      <c r="E370" s="20">
        <v>1048.6559999999999</v>
      </c>
      <c r="F370" s="20">
        <v>1263.645</v>
      </c>
      <c r="G370" s="20">
        <v>18000</v>
      </c>
      <c r="H370" s="27">
        <v>18</v>
      </c>
      <c r="I370" s="20">
        <v>74.167000000000002</v>
      </c>
      <c r="J370" s="11" t="s">
        <v>170</v>
      </c>
      <c r="K370" s="11" t="s">
        <v>170</v>
      </c>
      <c r="L370" s="11"/>
      <c r="M370" s="18">
        <f t="shared" si="5"/>
        <v>20312.302</v>
      </c>
    </row>
    <row r="371" spans="1:13">
      <c r="A371" s="25" t="s">
        <v>126</v>
      </c>
      <c r="B371" s="25">
        <v>1</v>
      </c>
      <c r="C371" s="25">
        <v>0</v>
      </c>
      <c r="D371" s="20">
        <v>18226.237000000001</v>
      </c>
      <c r="E371" s="20">
        <v>2008.4749999999999</v>
      </c>
      <c r="F371" s="20">
        <v>1217.7619999999999</v>
      </c>
      <c r="G371" s="20">
        <v>15000</v>
      </c>
      <c r="H371" s="27">
        <v>15</v>
      </c>
      <c r="I371" s="20">
        <v>72.572000000000003</v>
      </c>
      <c r="J371" s="11" t="s">
        <v>170</v>
      </c>
      <c r="K371" s="11" t="s">
        <v>170</v>
      </c>
      <c r="L371" s="11"/>
      <c r="M371" s="18">
        <f t="shared" si="5"/>
        <v>18226.237000000001</v>
      </c>
    </row>
    <row r="372" spans="1:13">
      <c r="A372" s="25" t="s">
        <v>126</v>
      </c>
      <c r="B372" s="25">
        <v>2</v>
      </c>
      <c r="C372" s="25">
        <v>1</v>
      </c>
      <c r="D372" s="20">
        <v>21111.826000000001</v>
      </c>
      <c r="E372" s="20">
        <v>1866.576</v>
      </c>
      <c r="F372" s="20">
        <v>1245.25</v>
      </c>
      <c r="G372" s="20">
        <v>18000</v>
      </c>
      <c r="H372" s="27">
        <v>18</v>
      </c>
      <c r="I372" s="20">
        <v>69.915999999999997</v>
      </c>
      <c r="J372" s="11" t="s">
        <v>170</v>
      </c>
      <c r="K372" s="11" t="s">
        <v>170</v>
      </c>
      <c r="L372" s="11"/>
      <c r="M372" s="18">
        <f t="shared" si="5"/>
        <v>21111.826000000001</v>
      </c>
    </row>
    <row r="373" spans="1:13">
      <c r="A373" s="25" t="s">
        <v>126</v>
      </c>
      <c r="B373" s="25">
        <v>3</v>
      </c>
      <c r="C373" s="25">
        <v>2</v>
      </c>
      <c r="D373" s="20">
        <v>24741.524000000001</v>
      </c>
      <c r="E373" s="20">
        <v>1517.86</v>
      </c>
      <c r="F373" s="20">
        <v>1223.664</v>
      </c>
      <c r="G373" s="20">
        <v>22000</v>
      </c>
      <c r="H373" s="27">
        <v>22</v>
      </c>
      <c r="I373" s="20">
        <v>67.793999999999997</v>
      </c>
      <c r="J373" s="11" t="s">
        <v>170</v>
      </c>
      <c r="K373" s="11" t="s">
        <v>170</v>
      </c>
      <c r="L373" s="11"/>
      <c r="M373" s="18">
        <f t="shared" si="5"/>
        <v>24741.524000000001</v>
      </c>
    </row>
    <row r="374" spans="1:13">
      <c r="A374" s="25" t="s">
        <v>126</v>
      </c>
      <c r="B374" s="25">
        <v>4</v>
      </c>
      <c r="C374" s="25">
        <v>3</v>
      </c>
      <c r="D374" s="20">
        <v>17998.967000000001</v>
      </c>
      <c r="E374" s="20">
        <v>1750.6010000000001</v>
      </c>
      <c r="F374" s="20">
        <v>1248.366</v>
      </c>
      <c r="G374" s="20">
        <v>15000</v>
      </c>
      <c r="H374" s="27">
        <v>15</v>
      </c>
      <c r="I374" s="20">
        <v>63.073</v>
      </c>
      <c r="J374" s="11" t="s">
        <v>170</v>
      </c>
      <c r="K374" s="11" t="s">
        <v>170</v>
      </c>
      <c r="L374" s="11"/>
      <c r="M374" s="18">
        <f t="shared" si="5"/>
        <v>17998.967000000001</v>
      </c>
    </row>
    <row r="375" spans="1:13">
      <c r="A375" s="25" t="s">
        <v>126</v>
      </c>
      <c r="B375" s="25">
        <v>5</v>
      </c>
      <c r="C375" s="25">
        <v>4</v>
      </c>
      <c r="D375" s="20">
        <v>17953.357</v>
      </c>
      <c r="E375" s="20">
        <v>1735.375</v>
      </c>
      <c r="F375" s="20">
        <v>1217.9829999999999</v>
      </c>
      <c r="G375" s="20">
        <v>15000</v>
      </c>
      <c r="H375" s="27">
        <v>15</v>
      </c>
      <c r="I375" s="20">
        <v>69.786000000000001</v>
      </c>
      <c r="J375" s="11" t="s">
        <v>170</v>
      </c>
      <c r="K375" s="11" t="s">
        <v>170</v>
      </c>
      <c r="L375" s="11"/>
      <c r="M375" s="18">
        <f t="shared" si="5"/>
        <v>17953.357</v>
      </c>
    </row>
    <row r="376" spans="1:13">
      <c r="A376" s="25" t="s">
        <v>128</v>
      </c>
      <c r="B376" s="25">
        <v>1</v>
      </c>
      <c r="C376" s="25">
        <v>0</v>
      </c>
      <c r="D376" s="20">
        <v>21746.720000000001</v>
      </c>
      <c r="E376" s="20">
        <v>2448.268</v>
      </c>
      <c r="F376" s="20">
        <v>1298.452</v>
      </c>
      <c r="G376" s="20">
        <v>18000</v>
      </c>
      <c r="H376" s="27">
        <v>18</v>
      </c>
      <c r="I376" s="20">
        <v>56.058999999999997</v>
      </c>
      <c r="J376" s="11" t="s">
        <v>170</v>
      </c>
      <c r="K376" s="11" t="s">
        <v>170</v>
      </c>
      <c r="L376" s="11"/>
      <c r="M376" s="18">
        <f t="shared" si="5"/>
        <v>21746.720000000001</v>
      </c>
    </row>
    <row r="377" spans="1:13">
      <c r="A377" s="25" t="s">
        <v>128</v>
      </c>
      <c r="B377" s="25">
        <v>2</v>
      </c>
      <c r="C377" s="25">
        <v>1</v>
      </c>
      <c r="D377" s="20">
        <v>18482.553</v>
      </c>
      <c r="E377" s="20">
        <v>2236.9650000000001</v>
      </c>
      <c r="F377" s="20">
        <v>1245.588</v>
      </c>
      <c r="G377" s="20">
        <v>15000</v>
      </c>
      <c r="H377" s="27">
        <v>15</v>
      </c>
      <c r="I377" s="20">
        <v>50.723999999999997</v>
      </c>
      <c r="J377" s="11" t="s">
        <v>170</v>
      </c>
      <c r="K377" s="11" t="s">
        <v>170</v>
      </c>
      <c r="L377" s="11"/>
      <c r="M377" s="18">
        <f t="shared" si="5"/>
        <v>18482.553</v>
      </c>
    </row>
    <row r="378" spans="1:13">
      <c r="A378" s="25" t="s">
        <v>128</v>
      </c>
      <c r="B378" s="25">
        <v>3</v>
      </c>
      <c r="C378" s="25">
        <v>2</v>
      </c>
      <c r="D378" s="20">
        <v>21875.81</v>
      </c>
      <c r="E378" s="20">
        <v>2557.42</v>
      </c>
      <c r="F378" s="20">
        <v>1318.39</v>
      </c>
      <c r="G378" s="20">
        <v>18000</v>
      </c>
      <c r="H378" s="27">
        <v>18</v>
      </c>
      <c r="I378" s="20">
        <v>56.122999999999998</v>
      </c>
      <c r="J378" s="11" t="s">
        <v>170</v>
      </c>
      <c r="K378" s="11" t="s">
        <v>170</v>
      </c>
      <c r="L378" s="11"/>
      <c r="M378" s="18">
        <f t="shared" si="5"/>
        <v>21875.81</v>
      </c>
    </row>
    <row r="379" spans="1:13">
      <c r="A379" s="25" t="s">
        <v>128</v>
      </c>
      <c r="B379" s="25">
        <v>4</v>
      </c>
      <c r="C379" s="25">
        <v>3</v>
      </c>
      <c r="D379" s="20">
        <v>24998.061000000002</v>
      </c>
      <c r="E379" s="20">
        <v>2698.8969999999999</v>
      </c>
      <c r="F379" s="20">
        <v>1299.164</v>
      </c>
      <c r="G379" s="20">
        <v>21000</v>
      </c>
      <c r="H379" s="27">
        <v>21</v>
      </c>
      <c r="I379" s="20">
        <v>66.245999999999995</v>
      </c>
      <c r="J379" s="11" t="s">
        <v>170</v>
      </c>
      <c r="K379" s="11" t="s">
        <v>170</v>
      </c>
      <c r="L379" s="11"/>
      <c r="M379" s="18">
        <f t="shared" si="5"/>
        <v>24998.061000000002</v>
      </c>
    </row>
    <row r="380" spans="1:13">
      <c r="A380" s="25" t="s">
        <v>128</v>
      </c>
      <c r="B380" s="25">
        <v>5</v>
      </c>
      <c r="C380" s="25">
        <v>4</v>
      </c>
      <c r="D380" s="20">
        <v>21719.210999999999</v>
      </c>
      <c r="E380" s="20">
        <v>2475.895</v>
      </c>
      <c r="F380" s="20">
        <v>1243.3150000000001</v>
      </c>
      <c r="G380" s="20">
        <v>18000</v>
      </c>
      <c r="H380" s="27">
        <v>18</v>
      </c>
      <c r="I380" s="20">
        <v>59.904000000000003</v>
      </c>
      <c r="J380" s="11" t="s">
        <v>170</v>
      </c>
      <c r="K380" s="11" t="s">
        <v>170</v>
      </c>
      <c r="L380" s="11"/>
      <c r="M380" s="18">
        <f t="shared" si="5"/>
        <v>21719.210999999999</v>
      </c>
    </row>
    <row r="381" spans="1:13">
      <c r="A381" s="25" t="s">
        <v>129</v>
      </c>
      <c r="B381" s="25">
        <v>1</v>
      </c>
      <c r="C381" s="25">
        <v>0</v>
      </c>
      <c r="D381" s="20">
        <v>48458.563000000002</v>
      </c>
      <c r="E381" s="20">
        <v>759.23800000000006</v>
      </c>
      <c r="F381" s="20">
        <v>1699.325</v>
      </c>
      <c r="G381" s="20">
        <v>46000</v>
      </c>
      <c r="H381" s="27">
        <v>46</v>
      </c>
      <c r="I381" s="20">
        <v>104.084</v>
      </c>
      <c r="J381" s="11" t="s">
        <v>170</v>
      </c>
      <c r="K381" s="11" t="s">
        <v>170</v>
      </c>
      <c r="L381" s="11"/>
      <c r="M381" s="18">
        <f t="shared" si="5"/>
        <v>48458.563000000002</v>
      </c>
    </row>
    <row r="382" spans="1:13">
      <c r="A382" s="25" t="s">
        <v>129</v>
      </c>
      <c r="B382" s="25">
        <v>2</v>
      </c>
      <c r="C382" s="25">
        <v>1</v>
      </c>
      <c r="D382" s="20">
        <v>47041.241999999998</v>
      </c>
      <c r="E382" s="20">
        <v>384.57</v>
      </c>
      <c r="F382" s="20">
        <v>1656.672</v>
      </c>
      <c r="G382" s="20">
        <v>45000</v>
      </c>
      <c r="H382" s="27">
        <v>45</v>
      </c>
      <c r="I382" s="20">
        <v>100.715</v>
      </c>
      <c r="J382" s="11" t="s">
        <v>170</v>
      </c>
      <c r="K382" s="11" t="s">
        <v>170</v>
      </c>
      <c r="L382" s="11"/>
      <c r="M382" s="18">
        <f t="shared" si="5"/>
        <v>47041.241999999998</v>
      </c>
    </row>
    <row r="383" spans="1:13">
      <c r="A383" s="25" t="s">
        <v>129</v>
      </c>
      <c r="B383" s="25">
        <v>3</v>
      </c>
      <c r="C383" s="25">
        <v>2</v>
      </c>
      <c r="D383" s="20">
        <v>45275.063000000002</v>
      </c>
      <c r="E383" s="20">
        <v>525.09400000000005</v>
      </c>
      <c r="F383" s="20">
        <v>1749.9690000000001</v>
      </c>
      <c r="G383" s="20">
        <v>43000</v>
      </c>
      <c r="H383" s="27">
        <v>43</v>
      </c>
      <c r="I383" s="20">
        <v>101.956</v>
      </c>
      <c r="J383" s="11" t="s">
        <v>170</v>
      </c>
      <c r="K383" s="11" t="s">
        <v>170</v>
      </c>
      <c r="L383" s="11"/>
      <c r="M383" s="18">
        <f t="shared" si="5"/>
        <v>45275.063000000002</v>
      </c>
    </row>
    <row r="384" spans="1:13">
      <c r="A384" s="25" t="s">
        <v>129</v>
      </c>
      <c r="B384" s="25">
        <v>4</v>
      </c>
      <c r="C384" s="25">
        <v>3</v>
      </c>
      <c r="D384" s="20">
        <v>48185.978999999999</v>
      </c>
      <c r="E384" s="20">
        <v>409.80099999999999</v>
      </c>
      <c r="F384" s="20">
        <v>1776.1780000000001</v>
      </c>
      <c r="G384" s="20">
        <v>46000</v>
      </c>
      <c r="H384" s="27">
        <v>46</v>
      </c>
      <c r="I384" s="20">
        <v>100.751</v>
      </c>
      <c r="J384" s="11" t="s">
        <v>170</v>
      </c>
      <c r="K384" s="11" t="s">
        <v>170</v>
      </c>
      <c r="L384" s="11"/>
      <c r="M384" s="18">
        <f t="shared" si="5"/>
        <v>48185.978999999999</v>
      </c>
    </row>
    <row r="385" spans="1:13">
      <c r="A385" s="25" t="s">
        <v>129</v>
      </c>
      <c r="B385" s="25">
        <v>5</v>
      </c>
      <c r="C385" s="25">
        <v>4</v>
      </c>
      <c r="D385" s="20">
        <v>46392.137000000002</v>
      </c>
      <c r="E385" s="20">
        <v>683.34</v>
      </c>
      <c r="F385" s="20">
        <v>1708.797</v>
      </c>
      <c r="G385" s="20">
        <v>44000</v>
      </c>
      <c r="H385" s="27">
        <v>44</v>
      </c>
      <c r="I385" s="20">
        <v>113.136</v>
      </c>
      <c r="J385" s="11" t="s">
        <v>170</v>
      </c>
      <c r="K385" s="11" t="s">
        <v>170</v>
      </c>
      <c r="L385" s="11"/>
      <c r="M385" s="18">
        <f t="shared" si="5"/>
        <v>46392.137000000002</v>
      </c>
    </row>
    <row r="386" spans="1:13">
      <c r="A386" s="25" t="s">
        <v>130</v>
      </c>
      <c r="B386" s="25">
        <v>1</v>
      </c>
      <c r="C386" s="25">
        <v>0</v>
      </c>
      <c r="D386" s="20">
        <v>52847.048000000003</v>
      </c>
      <c r="E386" s="20">
        <v>1102.528</v>
      </c>
      <c r="F386" s="20">
        <v>1744.519</v>
      </c>
      <c r="G386" s="20">
        <v>50000</v>
      </c>
      <c r="H386" s="27">
        <v>50</v>
      </c>
      <c r="I386" s="20">
        <v>94.070999999999998</v>
      </c>
      <c r="J386" s="11" t="s">
        <v>170</v>
      </c>
      <c r="K386" s="11" t="s">
        <v>170</v>
      </c>
      <c r="L386" s="11"/>
      <c r="M386" s="18">
        <f t="shared" si="5"/>
        <v>52847.048000000003</v>
      </c>
    </row>
    <row r="387" spans="1:13">
      <c r="A387" s="25" t="s">
        <v>130</v>
      </c>
      <c r="B387" s="25">
        <v>2</v>
      </c>
      <c r="C387" s="25">
        <v>1</v>
      </c>
      <c r="D387" s="20">
        <v>53103.044999999998</v>
      </c>
      <c r="E387" s="20">
        <v>1522.037</v>
      </c>
      <c r="F387" s="20">
        <v>1581.0070000000001</v>
      </c>
      <c r="G387" s="20">
        <v>50000</v>
      </c>
      <c r="H387" s="27">
        <v>50</v>
      </c>
      <c r="I387" s="20">
        <v>104.304</v>
      </c>
      <c r="J387" s="11" t="s">
        <v>170</v>
      </c>
      <c r="K387" s="11" t="s">
        <v>170</v>
      </c>
      <c r="L387" s="11"/>
      <c r="M387" s="18">
        <f t="shared" si="5"/>
        <v>53103.044999999998</v>
      </c>
    </row>
    <row r="388" spans="1:13">
      <c r="A388" s="25" t="s">
        <v>130</v>
      </c>
      <c r="B388" s="25">
        <v>3</v>
      </c>
      <c r="C388" s="25">
        <v>2</v>
      </c>
      <c r="D388" s="20">
        <v>49805.154000000002</v>
      </c>
      <c r="E388" s="20">
        <v>1107.5920000000001</v>
      </c>
      <c r="F388" s="20">
        <v>1697.5619999999999</v>
      </c>
      <c r="G388" s="20">
        <v>47000</v>
      </c>
      <c r="H388" s="27">
        <v>47</v>
      </c>
      <c r="I388" s="20">
        <v>102.295</v>
      </c>
      <c r="J388" s="11" t="s">
        <v>170</v>
      </c>
      <c r="K388" s="11" t="s">
        <v>170</v>
      </c>
      <c r="L388" s="11"/>
      <c r="M388" s="18">
        <f t="shared" si="5"/>
        <v>49805.154000000002</v>
      </c>
    </row>
    <row r="389" spans="1:13">
      <c r="A389" s="25" t="s">
        <v>130</v>
      </c>
      <c r="B389" s="25">
        <v>4</v>
      </c>
      <c r="C389" s="25">
        <v>3</v>
      </c>
      <c r="D389" s="20">
        <v>49080.148000000001</v>
      </c>
      <c r="E389" s="20">
        <v>492.06200000000001</v>
      </c>
      <c r="F389" s="20">
        <v>1588.086</v>
      </c>
      <c r="G389" s="20">
        <v>47000</v>
      </c>
      <c r="H389" s="27">
        <v>47</v>
      </c>
      <c r="I389" s="20">
        <v>102.312</v>
      </c>
      <c r="J389" s="11" t="s">
        <v>170</v>
      </c>
      <c r="K389" s="11" t="s">
        <v>170</v>
      </c>
      <c r="L389" s="11"/>
      <c r="M389" s="18">
        <f t="shared" si="5"/>
        <v>49080.148000000001</v>
      </c>
    </row>
    <row r="390" spans="1:13">
      <c r="A390" s="25" t="s">
        <v>130</v>
      </c>
      <c r="B390" s="25">
        <v>5</v>
      </c>
      <c r="C390" s="25">
        <v>4</v>
      </c>
      <c r="D390" s="20">
        <v>49074.504000000001</v>
      </c>
      <c r="E390" s="20">
        <v>1276.876</v>
      </c>
      <c r="F390" s="20">
        <v>1797.6279999999999</v>
      </c>
      <c r="G390" s="20">
        <v>46000</v>
      </c>
      <c r="H390" s="27">
        <v>46</v>
      </c>
      <c r="I390" s="20">
        <v>102.98099999999999</v>
      </c>
      <c r="J390" s="11" t="s">
        <v>170</v>
      </c>
      <c r="K390" s="11" t="s">
        <v>170</v>
      </c>
      <c r="L390" s="11"/>
      <c r="M390" s="18">
        <f t="shared" ref="M390:M453" si="6">IF(AND(J390="Yes",K390="Yes",ISNUMBER(D390)),D390,"")</f>
        <v>49074.504000000001</v>
      </c>
    </row>
    <row r="391" spans="1:13">
      <c r="A391" s="25" t="s">
        <v>131</v>
      </c>
      <c r="B391" s="25">
        <v>1</v>
      </c>
      <c r="C391" s="25">
        <v>0</v>
      </c>
      <c r="D391" s="20">
        <v>48607.718999999997</v>
      </c>
      <c r="E391" s="20">
        <v>1940.357</v>
      </c>
      <c r="F391" s="20">
        <v>1667.3620000000001</v>
      </c>
      <c r="G391" s="20">
        <v>45000</v>
      </c>
      <c r="H391" s="27">
        <v>45</v>
      </c>
      <c r="I391" s="20">
        <v>101.551</v>
      </c>
      <c r="J391" s="11" t="s">
        <v>170</v>
      </c>
      <c r="K391" s="11" t="s">
        <v>170</v>
      </c>
      <c r="L391" s="11"/>
      <c r="M391" s="18">
        <f t="shared" si="6"/>
        <v>48607.718999999997</v>
      </c>
    </row>
    <row r="392" spans="1:13">
      <c r="A392" s="25" t="s">
        <v>131</v>
      </c>
      <c r="B392" s="25">
        <v>2</v>
      </c>
      <c r="C392" s="25">
        <v>1</v>
      </c>
      <c r="D392" s="20">
        <v>42160.591</v>
      </c>
      <c r="E392" s="20">
        <v>2560.8139999999999</v>
      </c>
      <c r="F392" s="20">
        <v>1599.777</v>
      </c>
      <c r="G392" s="20">
        <v>38000</v>
      </c>
      <c r="H392" s="27">
        <v>38</v>
      </c>
      <c r="I392" s="20">
        <v>103.495</v>
      </c>
      <c r="J392" s="11" t="s">
        <v>170</v>
      </c>
      <c r="K392" s="11" t="s">
        <v>170</v>
      </c>
      <c r="L392" s="11"/>
      <c r="M392" s="18">
        <f t="shared" si="6"/>
        <v>42160.591</v>
      </c>
    </row>
    <row r="393" spans="1:13">
      <c r="A393" s="25" t="s">
        <v>131</v>
      </c>
      <c r="B393" s="25">
        <v>3</v>
      </c>
      <c r="C393" s="25">
        <v>2</v>
      </c>
      <c r="D393" s="20">
        <v>49915.425999999999</v>
      </c>
      <c r="E393" s="20">
        <v>2255.7640000000001</v>
      </c>
      <c r="F393" s="20">
        <v>1659.662</v>
      </c>
      <c r="G393" s="20">
        <v>46000</v>
      </c>
      <c r="H393" s="27">
        <v>46</v>
      </c>
      <c r="I393" s="20">
        <v>96.674999999999997</v>
      </c>
      <c r="J393" s="11" t="s">
        <v>170</v>
      </c>
      <c r="K393" s="11" t="s">
        <v>170</v>
      </c>
      <c r="L393" s="11"/>
      <c r="M393" s="18">
        <f t="shared" si="6"/>
        <v>49915.425999999999</v>
      </c>
    </row>
    <row r="394" spans="1:13">
      <c r="A394" s="25" t="s">
        <v>131</v>
      </c>
      <c r="B394" s="25">
        <v>4</v>
      </c>
      <c r="C394" s="25">
        <v>3</v>
      </c>
      <c r="D394" s="20">
        <v>47974.446000000004</v>
      </c>
      <c r="E394" s="20">
        <v>2300.8809999999999</v>
      </c>
      <c r="F394" s="20">
        <v>1673.5650000000001</v>
      </c>
      <c r="G394" s="20">
        <v>44000</v>
      </c>
      <c r="H394" s="27">
        <v>44</v>
      </c>
      <c r="I394" s="20">
        <v>100.68</v>
      </c>
      <c r="J394" s="11" t="s">
        <v>170</v>
      </c>
      <c r="K394" s="11" t="s">
        <v>170</v>
      </c>
      <c r="L394" s="11"/>
      <c r="M394" s="18">
        <f t="shared" si="6"/>
        <v>47974.446000000004</v>
      </c>
    </row>
    <row r="395" spans="1:13">
      <c r="A395" s="25" t="s">
        <v>131</v>
      </c>
      <c r="B395" s="25">
        <v>5</v>
      </c>
      <c r="C395" s="25">
        <v>4</v>
      </c>
      <c r="D395" s="20">
        <v>46888.998</v>
      </c>
      <c r="E395" s="20">
        <v>2329.7399999999998</v>
      </c>
      <c r="F395" s="20">
        <v>1559.259</v>
      </c>
      <c r="G395" s="20">
        <v>43000</v>
      </c>
      <c r="H395" s="27">
        <v>43</v>
      </c>
      <c r="I395" s="20">
        <v>102.88</v>
      </c>
      <c r="J395" s="11" t="s">
        <v>170</v>
      </c>
      <c r="K395" s="11" t="s">
        <v>170</v>
      </c>
      <c r="L395" s="11"/>
      <c r="M395" s="18">
        <f t="shared" si="6"/>
        <v>46888.998</v>
      </c>
    </row>
    <row r="396" spans="1:13">
      <c r="A396" s="25" t="s">
        <v>132</v>
      </c>
      <c r="B396" s="25">
        <v>1</v>
      </c>
      <c r="C396" s="25">
        <v>0</v>
      </c>
      <c r="D396" s="20">
        <v>51147.678</v>
      </c>
      <c r="E396" s="20">
        <v>3504.3240000000001</v>
      </c>
      <c r="F396" s="20">
        <v>1643.354</v>
      </c>
      <c r="G396" s="20">
        <v>46000</v>
      </c>
      <c r="H396" s="27">
        <v>46</v>
      </c>
      <c r="I396" s="20">
        <v>95.813999999999993</v>
      </c>
      <c r="J396" s="11" t="s">
        <v>170</v>
      </c>
      <c r="K396" s="11" t="s">
        <v>170</v>
      </c>
      <c r="L396" s="11"/>
      <c r="M396" s="18">
        <f t="shared" si="6"/>
        <v>51147.678</v>
      </c>
    </row>
    <row r="397" spans="1:13">
      <c r="A397" s="25" t="s">
        <v>132</v>
      </c>
      <c r="B397" s="25">
        <v>2</v>
      </c>
      <c r="C397" s="25">
        <v>1</v>
      </c>
      <c r="D397" s="20">
        <v>49924.752999999997</v>
      </c>
      <c r="E397" s="20">
        <v>4338.5110000000004</v>
      </c>
      <c r="F397" s="20">
        <v>1586.241</v>
      </c>
      <c r="G397" s="20">
        <v>44000</v>
      </c>
      <c r="H397" s="27">
        <v>44</v>
      </c>
      <c r="I397" s="20">
        <v>98.442999999999998</v>
      </c>
      <c r="J397" s="11" t="s">
        <v>170</v>
      </c>
      <c r="K397" s="11" t="s">
        <v>170</v>
      </c>
      <c r="L397" s="11"/>
      <c r="M397" s="18">
        <f t="shared" si="6"/>
        <v>49924.752999999997</v>
      </c>
    </row>
    <row r="398" spans="1:13">
      <c r="A398" s="25" t="s">
        <v>132</v>
      </c>
      <c r="B398" s="25">
        <v>3</v>
      </c>
      <c r="C398" s="25">
        <v>2</v>
      </c>
      <c r="D398" s="20">
        <v>48088.296000000002</v>
      </c>
      <c r="E398" s="20">
        <v>3408.82</v>
      </c>
      <c r="F398" s="20">
        <v>1679.4760000000001</v>
      </c>
      <c r="G398" s="20">
        <v>43000</v>
      </c>
      <c r="H398" s="27">
        <v>43</v>
      </c>
      <c r="I398" s="20">
        <v>97.358999999999995</v>
      </c>
      <c r="J398" s="11" t="s">
        <v>170</v>
      </c>
      <c r="K398" s="11" t="s">
        <v>170</v>
      </c>
      <c r="L398" s="11"/>
      <c r="M398" s="18">
        <f t="shared" si="6"/>
        <v>48088.296000000002</v>
      </c>
    </row>
    <row r="399" spans="1:13">
      <c r="A399" s="25" t="s">
        <v>132</v>
      </c>
      <c r="B399" s="25">
        <v>4</v>
      </c>
      <c r="C399" s="25">
        <v>3</v>
      </c>
      <c r="D399" s="20">
        <v>45920.080999999998</v>
      </c>
      <c r="E399" s="20">
        <v>3316.433</v>
      </c>
      <c r="F399" s="20">
        <v>1603.6479999999999</v>
      </c>
      <c r="G399" s="20">
        <v>41000</v>
      </c>
      <c r="H399" s="27">
        <v>41</v>
      </c>
      <c r="I399" s="20">
        <v>98.296999999999997</v>
      </c>
      <c r="J399" s="11" t="s">
        <v>170</v>
      </c>
      <c r="K399" s="11" t="s">
        <v>170</v>
      </c>
      <c r="L399" s="11"/>
      <c r="M399" s="18">
        <f t="shared" si="6"/>
        <v>45920.080999999998</v>
      </c>
    </row>
    <row r="400" spans="1:13">
      <c r="A400" s="25" t="s">
        <v>132</v>
      </c>
      <c r="B400" s="25">
        <v>5</v>
      </c>
      <c r="C400" s="25">
        <v>4</v>
      </c>
      <c r="D400" s="20">
        <v>50521.701000000001</v>
      </c>
      <c r="E400" s="20">
        <v>2959.087</v>
      </c>
      <c r="F400" s="20">
        <v>1562.614</v>
      </c>
      <c r="G400" s="20">
        <v>46000</v>
      </c>
      <c r="H400" s="27">
        <v>46</v>
      </c>
      <c r="I400" s="20">
        <v>97.774000000000001</v>
      </c>
      <c r="J400" s="11" t="s">
        <v>170</v>
      </c>
      <c r="K400" s="11" t="s">
        <v>170</v>
      </c>
      <c r="L400" s="11"/>
      <c r="M400" s="18">
        <f t="shared" si="6"/>
        <v>50521.701000000001</v>
      </c>
    </row>
    <row r="401" spans="1:13">
      <c r="A401" s="25" t="s">
        <v>133</v>
      </c>
      <c r="B401" s="25">
        <v>1</v>
      </c>
      <c r="C401" s="25">
        <v>0</v>
      </c>
      <c r="D401" s="20">
        <v>47614.92</v>
      </c>
      <c r="E401" s="20">
        <v>4101.2020000000002</v>
      </c>
      <c r="F401" s="20">
        <v>1513.7170000000001</v>
      </c>
      <c r="G401" s="20">
        <v>42000</v>
      </c>
      <c r="H401" s="27">
        <v>42</v>
      </c>
      <c r="I401" s="20">
        <v>99.046999999999997</v>
      </c>
      <c r="J401" s="11" t="s">
        <v>170</v>
      </c>
      <c r="K401" s="11" t="s">
        <v>170</v>
      </c>
      <c r="L401" s="11"/>
      <c r="M401" s="18">
        <f t="shared" si="6"/>
        <v>47614.92</v>
      </c>
    </row>
    <row r="402" spans="1:13">
      <c r="A402" s="25" t="s">
        <v>133</v>
      </c>
      <c r="B402" s="25">
        <v>2</v>
      </c>
      <c r="C402" s="25">
        <v>1</v>
      </c>
      <c r="D402" s="20">
        <v>49176.692999999999</v>
      </c>
      <c r="E402" s="20">
        <v>4631.1850000000004</v>
      </c>
      <c r="F402" s="20">
        <v>1545.509</v>
      </c>
      <c r="G402" s="20">
        <v>43000</v>
      </c>
      <c r="H402" s="27">
        <v>43</v>
      </c>
      <c r="I402" s="20">
        <v>99.52</v>
      </c>
      <c r="J402" s="11" t="s">
        <v>170</v>
      </c>
      <c r="K402" s="11" t="s">
        <v>170</v>
      </c>
      <c r="L402" s="11"/>
      <c r="M402" s="18">
        <f t="shared" si="6"/>
        <v>49176.692999999999</v>
      </c>
    </row>
    <row r="403" spans="1:13">
      <c r="A403" s="25" t="s">
        <v>133</v>
      </c>
      <c r="B403" s="25">
        <v>3</v>
      </c>
      <c r="C403" s="25">
        <v>2</v>
      </c>
      <c r="D403" s="20">
        <v>43830.983</v>
      </c>
      <c r="E403" s="20">
        <v>4363.9399999999996</v>
      </c>
      <c r="F403" s="20">
        <v>1467.0419999999999</v>
      </c>
      <c r="G403" s="20">
        <v>38000</v>
      </c>
      <c r="H403" s="27">
        <v>38</v>
      </c>
      <c r="I403" s="20">
        <v>99.058000000000007</v>
      </c>
      <c r="J403" s="11" t="s">
        <v>170</v>
      </c>
      <c r="K403" s="11" t="s">
        <v>170</v>
      </c>
      <c r="L403" s="11"/>
      <c r="M403" s="18">
        <f t="shared" si="6"/>
        <v>43830.983</v>
      </c>
    </row>
    <row r="404" spans="1:13">
      <c r="A404" s="25" t="s">
        <v>133</v>
      </c>
      <c r="B404" s="25">
        <v>4</v>
      </c>
      <c r="C404" s="25">
        <v>3</v>
      </c>
      <c r="D404" s="20">
        <v>50120.982000000004</v>
      </c>
      <c r="E404" s="20">
        <v>4350.1959999999999</v>
      </c>
      <c r="F404" s="20">
        <v>1770.7860000000001</v>
      </c>
      <c r="G404" s="20">
        <v>44000</v>
      </c>
      <c r="H404" s="27">
        <v>44</v>
      </c>
      <c r="I404" s="20">
        <v>97.623000000000005</v>
      </c>
      <c r="J404" s="11" t="s">
        <v>170</v>
      </c>
      <c r="K404" s="11" t="s">
        <v>170</v>
      </c>
      <c r="L404" s="11"/>
      <c r="M404" s="18">
        <f t="shared" si="6"/>
        <v>50120.982000000004</v>
      </c>
    </row>
    <row r="405" spans="1:13">
      <c r="A405" s="25" t="s">
        <v>133</v>
      </c>
      <c r="B405" s="25">
        <v>5</v>
      </c>
      <c r="C405" s="25">
        <v>4</v>
      </c>
      <c r="D405" s="20">
        <v>46654.968000000001</v>
      </c>
      <c r="E405" s="20">
        <v>4993.5789999999997</v>
      </c>
      <c r="F405" s="20">
        <v>1661.3889999999999</v>
      </c>
      <c r="G405" s="20">
        <v>40000</v>
      </c>
      <c r="H405" s="27">
        <v>40</v>
      </c>
      <c r="I405" s="20">
        <v>99.372</v>
      </c>
      <c r="J405" s="11" t="s">
        <v>170</v>
      </c>
      <c r="K405" s="11" t="s">
        <v>170</v>
      </c>
      <c r="L405" s="11"/>
      <c r="M405" s="18">
        <f t="shared" si="6"/>
        <v>46654.968000000001</v>
      </c>
    </row>
    <row r="406" spans="1:13">
      <c r="A406" s="25" t="s">
        <v>134</v>
      </c>
      <c r="B406" s="25">
        <v>1</v>
      </c>
      <c r="C406" s="25">
        <v>0</v>
      </c>
      <c r="D406" s="20">
        <v>40835.285000000003</v>
      </c>
      <c r="E406" s="20">
        <v>218.51900000000001</v>
      </c>
      <c r="F406" s="20">
        <v>1616.7660000000001</v>
      </c>
      <c r="G406" s="20">
        <v>39000</v>
      </c>
      <c r="H406" s="27">
        <v>39</v>
      </c>
      <c r="I406" s="20">
        <v>91.805000000000007</v>
      </c>
      <c r="J406" s="30" t="s">
        <v>170</v>
      </c>
      <c r="K406" s="11" t="s">
        <v>170</v>
      </c>
      <c r="L406" s="11"/>
      <c r="M406" s="18">
        <f t="shared" si="6"/>
        <v>40835.285000000003</v>
      </c>
    </row>
    <row r="407" spans="1:13">
      <c r="A407" s="25" t="s">
        <v>134</v>
      </c>
      <c r="B407" s="25">
        <v>2</v>
      </c>
      <c r="C407" s="25">
        <v>1</v>
      </c>
      <c r="D407" s="20">
        <v>44374.423000000003</v>
      </c>
      <c r="E407" s="20">
        <v>627.51499999999999</v>
      </c>
      <c r="F407" s="20">
        <v>1746.9079999999999</v>
      </c>
      <c r="G407" s="20">
        <v>42000</v>
      </c>
      <c r="H407" s="27">
        <v>42</v>
      </c>
      <c r="I407" s="20">
        <v>90.088999999999999</v>
      </c>
      <c r="J407" s="30" t="s">
        <v>170</v>
      </c>
      <c r="K407" s="11" t="s">
        <v>170</v>
      </c>
      <c r="L407" s="11"/>
      <c r="M407" s="18">
        <f t="shared" si="6"/>
        <v>44374.423000000003</v>
      </c>
    </row>
    <row r="408" spans="1:13">
      <c r="A408" s="25" t="s">
        <v>134</v>
      </c>
      <c r="B408" s="25">
        <v>3</v>
      </c>
      <c r="C408" s="25">
        <v>2</v>
      </c>
      <c r="D408" s="20">
        <v>44690.481</v>
      </c>
      <c r="E408" s="20">
        <v>46.819000000000003</v>
      </c>
      <c r="F408" s="20">
        <v>1643.662</v>
      </c>
      <c r="G408" s="20">
        <v>43000</v>
      </c>
      <c r="H408" s="27">
        <v>43</v>
      </c>
      <c r="I408" s="20">
        <v>80.02</v>
      </c>
      <c r="J408" s="30" t="s">
        <v>170</v>
      </c>
      <c r="K408" s="11" t="s">
        <v>170</v>
      </c>
      <c r="L408" s="11"/>
      <c r="M408" s="18">
        <f t="shared" si="6"/>
        <v>44690.481</v>
      </c>
    </row>
    <row r="409" spans="1:13">
      <c r="A409" s="25" t="s">
        <v>134</v>
      </c>
      <c r="B409" s="25">
        <v>4</v>
      </c>
      <c r="C409" s="25">
        <v>3</v>
      </c>
      <c r="D409" s="20">
        <v>38799.665999999997</v>
      </c>
      <c r="E409" s="20">
        <v>190.63399999999999</v>
      </c>
      <c r="F409" s="20">
        <v>1609.0319999999999</v>
      </c>
      <c r="G409" s="20">
        <v>37000</v>
      </c>
      <c r="H409" s="27">
        <v>37</v>
      </c>
      <c r="I409" s="20">
        <v>86.94</v>
      </c>
      <c r="J409" s="30" t="s">
        <v>170</v>
      </c>
      <c r="K409" s="11" t="s">
        <v>170</v>
      </c>
      <c r="L409" s="11"/>
      <c r="M409" s="18">
        <f t="shared" si="6"/>
        <v>38799.665999999997</v>
      </c>
    </row>
    <row r="410" spans="1:13">
      <c r="A410" s="25" t="s">
        <v>134</v>
      </c>
      <c r="B410" s="25">
        <v>5</v>
      </c>
      <c r="C410" s="25">
        <v>4</v>
      </c>
      <c r="D410" s="20">
        <v>40951.817000000003</v>
      </c>
      <c r="E410" s="20">
        <v>293.14</v>
      </c>
      <c r="F410" s="20">
        <v>1658.6780000000001</v>
      </c>
      <c r="G410" s="20">
        <v>39000</v>
      </c>
      <c r="H410" s="27">
        <v>39</v>
      </c>
      <c r="I410" s="20">
        <v>94.484999999999999</v>
      </c>
      <c r="J410" s="30" t="s">
        <v>170</v>
      </c>
      <c r="K410" s="11" t="s">
        <v>170</v>
      </c>
      <c r="L410" s="11"/>
      <c r="M410" s="18">
        <f t="shared" si="6"/>
        <v>40951.817000000003</v>
      </c>
    </row>
    <row r="411" spans="1:13">
      <c r="A411" s="25" t="s">
        <v>135</v>
      </c>
      <c r="B411" s="25">
        <v>1</v>
      </c>
      <c r="C411" s="25">
        <v>0</v>
      </c>
      <c r="D411" s="20">
        <v>48194.883999999998</v>
      </c>
      <c r="E411" s="20">
        <v>538.86300000000006</v>
      </c>
      <c r="F411" s="20">
        <v>1656.02</v>
      </c>
      <c r="G411" s="20">
        <v>46000</v>
      </c>
      <c r="H411" s="27">
        <v>46</v>
      </c>
      <c r="I411" s="20">
        <v>97.66</v>
      </c>
      <c r="J411" s="30" t="s">
        <v>170</v>
      </c>
      <c r="K411" s="11" t="s">
        <v>170</v>
      </c>
      <c r="L411" s="11"/>
      <c r="M411" s="18">
        <f t="shared" si="6"/>
        <v>48194.883999999998</v>
      </c>
    </row>
    <row r="412" spans="1:13">
      <c r="A412" s="25" t="s">
        <v>135</v>
      </c>
      <c r="B412" s="25">
        <v>2</v>
      </c>
      <c r="C412" s="25">
        <v>1</v>
      </c>
      <c r="D412" s="20">
        <v>44570.860999999997</v>
      </c>
      <c r="E412" s="20">
        <v>895.64099999999996</v>
      </c>
      <c r="F412" s="20">
        <v>1675.221</v>
      </c>
      <c r="G412" s="20">
        <v>42000</v>
      </c>
      <c r="H412" s="27">
        <v>42</v>
      </c>
      <c r="I412" s="20">
        <v>91.813000000000002</v>
      </c>
      <c r="J412" s="30" t="s">
        <v>170</v>
      </c>
      <c r="K412" s="11" t="s">
        <v>170</v>
      </c>
      <c r="L412" s="11"/>
      <c r="M412" s="18">
        <f t="shared" si="6"/>
        <v>44570.860999999997</v>
      </c>
    </row>
    <row r="413" spans="1:13">
      <c r="A413" s="25" t="s">
        <v>135</v>
      </c>
      <c r="B413" s="25">
        <v>3</v>
      </c>
      <c r="C413" s="25">
        <v>2</v>
      </c>
      <c r="D413" s="20">
        <v>47243.584000000003</v>
      </c>
      <c r="E413" s="20">
        <v>557.66800000000001</v>
      </c>
      <c r="F413" s="20">
        <v>1685.9169999999999</v>
      </c>
      <c r="G413" s="20">
        <v>45000</v>
      </c>
      <c r="H413" s="27">
        <v>45</v>
      </c>
      <c r="I413" s="20">
        <v>96.227999999999994</v>
      </c>
      <c r="J413" s="30" t="s">
        <v>170</v>
      </c>
      <c r="K413" s="11" t="s">
        <v>170</v>
      </c>
      <c r="L413" s="11"/>
      <c r="M413" s="18">
        <f t="shared" si="6"/>
        <v>47243.584000000003</v>
      </c>
    </row>
    <row r="414" spans="1:13">
      <c r="A414" s="25" t="s">
        <v>135</v>
      </c>
      <c r="B414" s="25">
        <v>4</v>
      </c>
      <c r="C414" s="25">
        <v>3</v>
      </c>
      <c r="D414" s="20">
        <v>42430.214</v>
      </c>
      <c r="E414" s="20">
        <v>740.25800000000004</v>
      </c>
      <c r="F414" s="20">
        <v>1689.9559999999999</v>
      </c>
      <c r="G414" s="20">
        <v>40000</v>
      </c>
      <c r="H414" s="27">
        <v>40</v>
      </c>
      <c r="I414" s="20">
        <v>96.201999999999998</v>
      </c>
      <c r="J414" s="30" t="s">
        <v>170</v>
      </c>
      <c r="K414" s="11" t="s">
        <v>170</v>
      </c>
      <c r="L414" s="11"/>
      <c r="M414" s="18">
        <f t="shared" si="6"/>
        <v>42430.214</v>
      </c>
    </row>
    <row r="415" spans="1:13">
      <c r="A415" s="25" t="s">
        <v>135</v>
      </c>
      <c r="B415" s="25">
        <v>5</v>
      </c>
      <c r="C415" s="25">
        <v>4</v>
      </c>
      <c r="D415" s="20">
        <v>41420.322</v>
      </c>
      <c r="E415" s="20">
        <v>775.96600000000001</v>
      </c>
      <c r="F415" s="20">
        <v>1644.356</v>
      </c>
      <c r="G415" s="20">
        <v>39000</v>
      </c>
      <c r="H415" s="27">
        <v>39</v>
      </c>
      <c r="I415" s="20">
        <v>100.601</v>
      </c>
      <c r="J415" s="30" t="s">
        <v>170</v>
      </c>
      <c r="K415" s="11" t="s">
        <v>170</v>
      </c>
      <c r="L415" s="11"/>
      <c r="M415" s="18">
        <f t="shared" si="6"/>
        <v>41420.322</v>
      </c>
    </row>
    <row r="416" spans="1:13">
      <c r="A416" s="25" t="s">
        <v>136</v>
      </c>
      <c r="B416" s="25">
        <v>1</v>
      </c>
      <c r="C416" s="25">
        <v>0</v>
      </c>
      <c r="D416" s="20">
        <v>42371.345999999998</v>
      </c>
      <c r="E416" s="20">
        <v>2619.9699999999998</v>
      </c>
      <c r="F416" s="20">
        <v>1751.376</v>
      </c>
      <c r="G416" s="20">
        <v>38000</v>
      </c>
      <c r="H416" s="27">
        <v>38</v>
      </c>
      <c r="I416" s="20">
        <v>96.671000000000006</v>
      </c>
      <c r="J416" s="30" t="s">
        <v>170</v>
      </c>
      <c r="K416" s="11" t="s">
        <v>170</v>
      </c>
      <c r="L416" s="11"/>
      <c r="M416" s="18">
        <f t="shared" si="6"/>
        <v>42371.345999999998</v>
      </c>
    </row>
    <row r="417" spans="1:13">
      <c r="A417" s="25" t="s">
        <v>136</v>
      </c>
      <c r="B417" s="25">
        <v>2</v>
      </c>
      <c r="C417" s="25">
        <v>1</v>
      </c>
      <c r="D417" s="20">
        <v>39746.938000000002</v>
      </c>
      <c r="E417" s="20">
        <v>2997.759</v>
      </c>
      <c r="F417" s="20">
        <v>1749.1780000000001</v>
      </c>
      <c r="G417" s="20">
        <v>35000</v>
      </c>
      <c r="H417" s="27">
        <v>35</v>
      </c>
      <c r="I417" s="20">
        <v>97.665999999999997</v>
      </c>
      <c r="J417" s="30" t="s">
        <v>170</v>
      </c>
      <c r="K417" s="11" t="s">
        <v>170</v>
      </c>
      <c r="L417" s="11"/>
      <c r="M417" s="18">
        <f t="shared" si="6"/>
        <v>39746.938000000002</v>
      </c>
    </row>
    <row r="418" spans="1:13">
      <c r="A418" s="25" t="s">
        <v>136</v>
      </c>
      <c r="B418" s="25">
        <v>3</v>
      </c>
      <c r="C418" s="25">
        <v>2</v>
      </c>
      <c r="D418" s="20">
        <v>40286.228999999999</v>
      </c>
      <c r="E418" s="20">
        <v>2472.5160000000001</v>
      </c>
      <c r="F418" s="20">
        <v>1813.713</v>
      </c>
      <c r="G418" s="20">
        <v>36000</v>
      </c>
      <c r="H418" s="27">
        <v>36</v>
      </c>
      <c r="I418" s="20">
        <v>98.397000000000006</v>
      </c>
      <c r="J418" s="30" t="s">
        <v>170</v>
      </c>
      <c r="K418" s="11" t="s">
        <v>170</v>
      </c>
      <c r="L418" s="11"/>
      <c r="M418" s="18">
        <f t="shared" si="6"/>
        <v>40286.228999999999</v>
      </c>
    </row>
    <row r="419" spans="1:13">
      <c r="A419" s="25" t="s">
        <v>136</v>
      </c>
      <c r="B419" s="25">
        <v>4</v>
      </c>
      <c r="C419" s="25">
        <v>3</v>
      </c>
      <c r="D419" s="20">
        <v>42235.974999999999</v>
      </c>
      <c r="E419" s="20">
        <v>2482.63</v>
      </c>
      <c r="F419" s="20">
        <v>1753.345</v>
      </c>
      <c r="G419" s="20">
        <v>38000</v>
      </c>
      <c r="H419" s="27">
        <v>38</v>
      </c>
      <c r="I419" s="20">
        <v>95.768000000000001</v>
      </c>
      <c r="J419" s="30" t="s">
        <v>170</v>
      </c>
      <c r="K419" s="11" t="s">
        <v>170</v>
      </c>
      <c r="L419" s="11"/>
      <c r="M419" s="18">
        <f t="shared" si="6"/>
        <v>42235.974999999999</v>
      </c>
    </row>
    <row r="420" spans="1:13">
      <c r="A420" s="25" t="s">
        <v>136</v>
      </c>
      <c r="B420" s="25">
        <v>5</v>
      </c>
      <c r="C420" s="25">
        <v>4</v>
      </c>
      <c r="D420" s="20">
        <v>44138.951999999997</v>
      </c>
      <c r="E420" s="20">
        <v>2301.4479999999999</v>
      </c>
      <c r="F420" s="20">
        <v>1837.5050000000001</v>
      </c>
      <c r="G420" s="20">
        <v>40000</v>
      </c>
      <c r="H420" s="27">
        <v>40</v>
      </c>
      <c r="I420" s="20">
        <v>86.546999999999997</v>
      </c>
      <c r="J420" s="30" t="s">
        <v>170</v>
      </c>
      <c r="K420" s="11" t="s">
        <v>170</v>
      </c>
      <c r="L420" s="11"/>
      <c r="M420" s="18">
        <f t="shared" si="6"/>
        <v>44138.951999999997</v>
      </c>
    </row>
    <row r="421" spans="1:13">
      <c r="A421" s="25" t="s">
        <v>137</v>
      </c>
      <c r="B421" s="25">
        <v>1</v>
      </c>
      <c r="C421" s="25">
        <v>0</v>
      </c>
      <c r="D421" s="20">
        <v>41993.720999999998</v>
      </c>
      <c r="E421" s="20">
        <v>3262.3090000000002</v>
      </c>
      <c r="F421" s="20">
        <v>1731.412</v>
      </c>
      <c r="G421" s="20">
        <v>37000</v>
      </c>
      <c r="H421" s="27">
        <v>37</v>
      </c>
      <c r="I421" s="20">
        <v>88.126999999999995</v>
      </c>
      <c r="J421" s="30" t="s">
        <v>170</v>
      </c>
      <c r="K421" s="11" t="s">
        <v>170</v>
      </c>
      <c r="L421" s="11"/>
      <c r="M421" s="18">
        <f t="shared" si="6"/>
        <v>41993.720999999998</v>
      </c>
    </row>
    <row r="422" spans="1:13">
      <c r="A422" s="25" t="s">
        <v>137</v>
      </c>
      <c r="B422" s="25">
        <v>2</v>
      </c>
      <c r="C422" s="25">
        <v>1</v>
      </c>
      <c r="D422" s="20">
        <v>39065.423999999999</v>
      </c>
      <c r="E422" s="20">
        <v>3266.712</v>
      </c>
      <c r="F422" s="20">
        <v>1798.712</v>
      </c>
      <c r="G422" s="20">
        <v>34000</v>
      </c>
      <c r="H422" s="27">
        <v>34</v>
      </c>
      <c r="I422" s="20">
        <v>96.024000000000001</v>
      </c>
      <c r="J422" s="30" t="s">
        <v>170</v>
      </c>
      <c r="K422" s="11" t="s">
        <v>170</v>
      </c>
      <c r="L422" s="11"/>
      <c r="M422" s="18">
        <f t="shared" si="6"/>
        <v>39065.423999999999</v>
      </c>
    </row>
    <row r="423" spans="1:13">
      <c r="A423" s="25" t="s">
        <v>137</v>
      </c>
      <c r="B423" s="25">
        <v>3</v>
      </c>
      <c r="C423" s="25">
        <v>2</v>
      </c>
      <c r="D423" s="20">
        <v>40460.392</v>
      </c>
      <c r="E423" s="20">
        <v>2860.1680000000001</v>
      </c>
      <c r="F423" s="20">
        <v>1600.2239999999999</v>
      </c>
      <c r="G423" s="20">
        <v>36000</v>
      </c>
      <c r="H423" s="27">
        <v>36</v>
      </c>
      <c r="I423" s="20">
        <v>97.343000000000004</v>
      </c>
      <c r="J423" s="30" t="s">
        <v>170</v>
      </c>
      <c r="K423" s="11" t="s">
        <v>170</v>
      </c>
      <c r="L423" s="11"/>
      <c r="M423" s="18">
        <f t="shared" si="6"/>
        <v>40460.392</v>
      </c>
    </row>
    <row r="424" spans="1:13">
      <c r="A424" s="25" t="s">
        <v>137</v>
      </c>
      <c r="B424" s="25">
        <v>4</v>
      </c>
      <c r="C424" s="25">
        <v>3</v>
      </c>
      <c r="D424" s="20">
        <v>44435.184000000001</v>
      </c>
      <c r="E424" s="20">
        <v>3562.4879999999998</v>
      </c>
      <c r="F424" s="20">
        <v>1872.6959999999999</v>
      </c>
      <c r="G424" s="20">
        <v>39000</v>
      </c>
      <c r="H424" s="27">
        <v>39</v>
      </c>
      <c r="I424" s="20">
        <v>96.125</v>
      </c>
      <c r="J424" s="30" t="s">
        <v>170</v>
      </c>
      <c r="K424" s="11" t="s">
        <v>170</v>
      </c>
      <c r="L424" s="11"/>
      <c r="M424" s="18">
        <f t="shared" si="6"/>
        <v>44435.184000000001</v>
      </c>
    </row>
    <row r="425" spans="1:13">
      <c r="A425" s="25" t="s">
        <v>137</v>
      </c>
      <c r="B425" s="25">
        <v>5</v>
      </c>
      <c r="C425" s="25">
        <v>4</v>
      </c>
      <c r="D425" s="20">
        <v>39524.857000000004</v>
      </c>
      <c r="E425" s="20">
        <v>3714.5859999999998</v>
      </c>
      <c r="F425" s="20">
        <v>1810.271</v>
      </c>
      <c r="G425" s="20">
        <v>34000</v>
      </c>
      <c r="H425" s="27">
        <v>34</v>
      </c>
      <c r="I425" s="20">
        <v>91.811999999999998</v>
      </c>
      <c r="J425" s="30" t="s">
        <v>170</v>
      </c>
      <c r="K425" s="11" t="s">
        <v>170</v>
      </c>
      <c r="L425" s="11"/>
      <c r="M425" s="18">
        <f t="shared" si="6"/>
        <v>39524.857000000004</v>
      </c>
    </row>
    <row r="426" spans="1:13">
      <c r="A426" s="25" t="s">
        <v>138</v>
      </c>
      <c r="B426" s="25">
        <v>1</v>
      </c>
      <c r="C426" s="25">
        <v>0</v>
      </c>
      <c r="D426" s="20">
        <v>42590.294000000002</v>
      </c>
      <c r="E426" s="20">
        <v>3843.5680000000002</v>
      </c>
      <c r="F426" s="20">
        <v>1746.7260000000001</v>
      </c>
      <c r="G426" s="20">
        <v>37000</v>
      </c>
      <c r="H426" s="27">
        <v>37</v>
      </c>
      <c r="I426" s="20">
        <v>95.849000000000004</v>
      </c>
      <c r="J426" s="30" t="s">
        <v>170</v>
      </c>
      <c r="K426" s="11" t="s">
        <v>170</v>
      </c>
      <c r="L426" s="11"/>
      <c r="M426" s="18">
        <f t="shared" si="6"/>
        <v>42590.294000000002</v>
      </c>
    </row>
    <row r="427" spans="1:13">
      <c r="A427" s="25" t="s">
        <v>138</v>
      </c>
      <c r="B427" s="25">
        <v>2</v>
      </c>
      <c r="C427" s="25">
        <v>1</v>
      </c>
      <c r="D427" s="20">
        <v>42349.199000000001</v>
      </c>
      <c r="E427" s="20">
        <v>3478.2689999999998</v>
      </c>
      <c r="F427" s="20">
        <v>1870.93</v>
      </c>
      <c r="G427" s="20">
        <v>37000</v>
      </c>
      <c r="H427" s="27">
        <v>37</v>
      </c>
      <c r="I427" s="20">
        <v>90.001000000000005</v>
      </c>
      <c r="J427" s="30" t="s">
        <v>170</v>
      </c>
      <c r="K427" s="11" t="s">
        <v>170</v>
      </c>
      <c r="L427" s="11"/>
      <c r="M427" s="18">
        <f t="shared" si="6"/>
        <v>42349.199000000001</v>
      </c>
    </row>
    <row r="428" spans="1:13">
      <c r="A428" s="25" t="s">
        <v>138</v>
      </c>
      <c r="B428" s="25">
        <v>3</v>
      </c>
      <c r="C428" s="25">
        <v>2</v>
      </c>
      <c r="D428" s="20">
        <v>40950.684999999998</v>
      </c>
      <c r="E428" s="20">
        <v>4290.7629999999999</v>
      </c>
      <c r="F428" s="20">
        <v>1659.922</v>
      </c>
      <c r="G428" s="20">
        <v>35000</v>
      </c>
      <c r="H428" s="27">
        <v>35</v>
      </c>
      <c r="I428" s="20">
        <v>95.302999999999997</v>
      </c>
      <c r="J428" s="30" t="s">
        <v>170</v>
      </c>
      <c r="K428" s="11" t="s">
        <v>170</v>
      </c>
      <c r="L428" s="11"/>
      <c r="M428" s="18">
        <f t="shared" si="6"/>
        <v>40950.684999999998</v>
      </c>
    </row>
    <row r="429" spans="1:13">
      <c r="A429" s="25" t="s">
        <v>138</v>
      </c>
      <c r="B429" s="25">
        <v>4</v>
      </c>
      <c r="C429" s="25">
        <v>3</v>
      </c>
      <c r="D429" s="20">
        <v>39680.550999999999</v>
      </c>
      <c r="E429" s="20">
        <v>3848.4609999999998</v>
      </c>
      <c r="F429" s="20">
        <v>1832.09</v>
      </c>
      <c r="G429" s="20">
        <v>34000</v>
      </c>
      <c r="H429" s="27">
        <v>34</v>
      </c>
      <c r="I429" s="20">
        <v>91.522999999999996</v>
      </c>
      <c r="J429" s="30" t="s">
        <v>170</v>
      </c>
      <c r="K429" s="11" t="s">
        <v>170</v>
      </c>
      <c r="L429" s="11"/>
      <c r="M429" s="18">
        <f t="shared" si="6"/>
        <v>39680.550999999999</v>
      </c>
    </row>
    <row r="430" spans="1:13">
      <c r="A430" s="25" t="s">
        <v>138</v>
      </c>
      <c r="B430" s="25">
        <v>5</v>
      </c>
      <c r="C430" s="25">
        <v>4</v>
      </c>
      <c r="D430" s="20">
        <v>44472.305999999997</v>
      </c>
      <c r="E430" s="20">
        <v>3721.5030000000002</v>
      </c>
      <c r="F430" s="20">
        <v>1750.8019999999999</v>
      </c>
      <c r="G430" s="20">
        <v>39000</v>
      </c>
      <c r="H430" s="27">
        <v>39</v>
      </c>
      <c r="I430" s="20">
        <v>94.338999999999999</v>
      </c>
      <c r="J430" s="30" t="s">
        <v>170</v>
      </c>
      <c r="K430" s="11" t="s">
        <v>170</v>
      </c>
      <c r="L430" s="11"/>
      <c r="M430" s="18">
        <f t="shared" si="6"/>
        <v>44472.305999999997</v>
      </c>
    </row>
    <row r="431" spans="1:13">
      <c r="A431" s="25" t="s">
        <v>139</v>
      </c>
      <c r="B431" s="25">
        <v>1</v>
      </c>
      <c r="C431" s="25">
        <v>0</v>
      </c>
      <c r="D431" s="20">
        <v>32968.741999999998</v>
      </c>
      <c r="E431" s="20">
        <v>269.69299999999998</v>
      </c>
      <c r="F431" s="20">
        <v>1699.049</v>
      </c>
      <c r="G431" s="20">
        <v>31000</v>
      </c>
      <c r="H431" s="27">
        <v>31</v>
      </c>
      <c r="I431" s="20">
        <v>99.131</v>
      </c>
      <c r="J431" s="11" t="s">
        <v>170</v>
      </c>
      <c r="K431" s="11" t="s">
        <v>170</v>
      </c>
      <c r="L431" s="11"/>
      <c r="M431" s="18">
        <f t="shared" si="6"/>
        <v>32968.741999999998</v>
      </c>
    </row>
    <row r="432" spans="1:13">
      <c r="A432" s="25" t="s">
        <v>139</v>
      </c>
      <c r="B432" s="25">
        <v>2</v>
      </c>
      <c r="C432" s="25">
        <v>1</v>
      </c>
      <c r="D432" s="20">
        <v>41126.523999999998</v>
      </c>
      <c r="E432" s="20">
        <v>500.57400000000001</v>
      </c>
      <c r="F432" s="20">
        <v>1625.95</v>
      </c>
      <c r="G432" s="20">
        <v>39000</v>
      </c>
      <c r="H432" s="27">
        <v>39</v>
      </c>
      <c r="I432" s="20">
        <v>106.008</v>
      </c>
      <c r="J432" s="11" t="s">
        <v>170</v>
      </c>
      <c r="K432" s="11" t="s">
        <v>170</v>
      </c>
      <c r="L432" s="11"/>
      <c r="M432" s="18">
        <f t="shared" si="6"/>
        <v>41126.523999999998</v>
      </c>
    </row>
    <row r="433" spans="1:13">
      <c r="A433" s="25" t="s">
        <v>139</v>
      </c>
      <c r="B433" s="25">
        <v>3</v>
      </c>
      <c r="C433" s="25">
        <v>2</v>
      </c>
      <c r="D433" s="20">
        <v>39030.999000000003</v>
      </c>
      <c r="E433" s="20">
        <v>318.13</v>
      </c>
      <c r="F433" s="20">
        <v>1712.8689999999999</v>
      </c>
      <c r="G433" s="20">
        <v>37000</v>
      </c>
      <c r="H433" s="27">
        <v>37</v>
      </c>
      <c r="I433" s="20">
        <v>102.553</v>
      </c>
      <c r="J433" s="11" t="s">
        <v>170</v>
      </c>
      <c r="K433" s="11" t="s">
        <v>170</v>
      </c>
      <c r="L433" s="11"/>
      <c r="M433" s="18">
        <f t="shared" si="6"/>
        <v>39030.999000000003</v>
      </c>
    </row>
    <row r="434" spans="1:13">
      <c r="A434" s="25" t="s">
        <v>139</v>
      </c>
      <c r="B434" s="25">
        <v>4</v>
      </c>
      <c r="C434" s="25">
        <v>3</v>
      </c>
      <c r="D434" s="20">
        <v>38832.194000000003</v>
      </c>
      <c r="E434" s="20">
        <v>205.83199999999999</v>
      </c>
      <c r="F434" s="20">
        <v>1626.3620000000001</v>
      </c>
      <c r="G434" s="20">
        <v>37000</v>
      </c>
      <c r="H434" s="27">
        <v>37</v>
      </c>
      <c r="I434" s="20">
        <v>107.511</v>
      </c>
      <c r="J434" s="11" t="s">
        <v>170</v>
      </c>
      <c r="K434" s="11" t="s">
        <v>170</v>
      </c>
      <c r="L434" s="11"/>
      <c r="M434" s="18">
        <f t="shared" si="6"/>
        <v>38832.194000000003</v>
      </c>
    </row>
    <row r="435" spans="1:13">
      <c r="A435" s="25" t="s">
        <v>139</v>
      </c>
      <c r="B435" s="25">
        <v>5</v>
      </c>
      <c r="C435" s="25">
        <v>4</v>
      </c>
      <c r="D435" s="20">
        <v>34120.857000000004</v>
      </c>
      <c r="E435" s="20">
        <v>462.57</v>
      </c>
      <c r="F435" s="20">
        <v>1658.287</v>
      </c>
      <c r="G435" s="20">
        <v>32000</v>
      </c>
      <c r="H435" s="27">
        <v>32</v>
      </c>
      <c r="I435" s="20">
        <v>110.712</v>
      </c>
      <c r="J435" s="11" t="s">
        <v>170</v>
      </c>
      <c r="K435" s="11" t="s">
        <v>170</v>
      </c>
      <c r="L435" s="11"/>
      <c r="M435" s="18">
        <f t="shared" si="6"/>
        <v>34120.857000000004</v>
      </c>
    </row>
    <row r="436" spans="1:13">
      <c r="A436" s="25" t="s">
        <v>140</v>
      </c>
      <c r="B436" s="25">
        <v>1</v>
      </c>
      <c r="C436" s="25">
        <v>0</v>
      </c>
      <c r="D436" s="20">
        <v>39656.705999999998</v>
      </c>
      <c r="E436" s="20">
        <v>884.51599999999996</v>
      </c>
      <c r="F436" s="20">
        <v>1772.19</v>
      </c>
      <c r="G436" s="20">
        <v>37000</v>
      </c>
      <c r="H436" s="27">
        <v>37</v>
      </c>
      <c r="I436" s="20">
        <v>104.188</v>
      </c>
      <c r="J436" s="11" t="s">
        <v>170</v>
      </c>
      <c r="K436" s="11" t="s">
        <v>170</v>
      </c>
      <c r="L436" s="11"/>
      <c r="M436" s="18">
        <f t="shared" si="6"/>
        <v>39656.705999999998</v>
      </c>
    </row>
    <row r="437" spans="1:13">
      <c r="A437" s="25" t="s">
        <v>140</v>
      </c>
      <c r="B437" s="25">
        <v>2</v>
      </c>
      <c r="C437" s="25">
        <v>1</v>
      </c>
      <c r="D437" s="20">
        <v>38804.637000000002</v>
      </c>
      <c r="E437" s="20">
        <v>978.13800000000003</v>
      </c>
      <c r="F437" s="20">
        <v>1826.499</v>
      </c>
      <c r="G437" s="20">
        <v>36000</v>
      </c>
      <c r="H437" s="27">
        <v>36</v>
      </c>
      <c r="I437" s="20">
        <v>103.384</v>
      </c>
      <c r="J437" s="11" t="s">
        <v>170</v>
      </c>
      <c r="K437" s="11" t="s">
        <v>170</v>
      </c>
      <c r="L437" s="11"/>
      <c r="M437" s="18">
        <f t="shared" si="6"/>
        <v>38804.637000000002</v>
      </c>
    </row>
    <row r="438" spans="1:13">
      <c r="A438" s="25" t="s">
        <v>140</v>
      </c>
      <c r="B438" s="25">
        <v>3</v>
      </c>
      <c r="C438" s="25">
        <v>2</v>
      </c>
      <c r="D438" s="20">
        <v>39302.432999999997</v>
      </c>
      <c r="E438" s="20">
        <v>588.57000000000005</v>
      </c>
      <c r="F438" s="20">
        <v>1713.8630000000001</v>
      </c>
      <c r="G438" s="20">
        <v>37000</v>
      </c>
      <c r="H438" s="27">
        <v>37</v>
      </c>
      <c r="I438" s="20">
        <v>99.619</v>
      </c>
      <c r="J438" s="11" t="s">
        <v>170</v>
      </c>
      <c r="K438" s="11" t="s">
        <v>170</v>
      </c>
      <c r="L438" s="11"/>
      <c r="M438" s="18">
        <f t="shared" si="6"/>
        <v>39302.432999999997</v>
      </c>
    </row>
    <row r="439" spans="1:13">
      <c r="A439" s="25" t="s">
        <v>140</v>
      </c>
      <c r="B439" s="25">
        <v>4</v>
      </c>
      <c r="C439" s="25">
        <v>3</v>
      </c>
      <c r="D439" s="20">
        <v>32946.851999999999</v>
      </c>
      <c r="E439" s="20">
        <v>1293.105</v>
      </c>
      <c r="F439" s="20">
        <v>1653.7470000000001</v>
      </c>
      <c r="G439" s="20">
        <v>30000</v>
      </c>
      <c r="H439" s="27">
        <v>30</v>
      </c>
      <c r="I439" s="20">
        <v>105.48</v>
      </c>
      <c r="J439" s="11" t="s">
        <v>170</v>
      </c>
      <c r="K439" s="11" t="s">
        <v>170</v>
      </c>
      <c r="L439" s="11"/>
      <c r="M439" s="18">
        <f t="shared" si="6"/>
        <v>32946.851999999999</v>
      </c>
    </row>
    <row r="440" spans="1:13">
      <c r="A440" s="25" t="s">
        <v>140</v>
      </c>
      <c r="B440" s="25">
        <v>5</v>
      </c>
      <c r="C440" s="25">
        <v>4</v>
      </c>
      <c r="D440" s="20">
        <v>45390.375999999997</v>
      </c>
      <c r="E440" s="20">
        <v>1665.4010000000001</v>
      </c>
      <c r="F440" s="20">
        <v>1724.9749999999999</v>
      </c>
      <c r="G440" s="20">
        <v>42000</v>
      </c>
      <c r="H440" s="27">
        <v>42</v>
      </c>
      <c r="I440" s="20">
        <v>108.867</v>
      </c>
      <c r="J440" s="11" t="s">
        <v>170</v>
      </c>
      <c r="K440" s="11" t="s">
        <v>170</v>
      </c>
      <c r="L440" s="11"/>
      <c r="M440" s="18">
        <f>IF(AND(J440="Yes",K440="Yes",ISNUMBER(D440)),D440,"")</f>
        <v>45390.375999999997</v>
      </c>
    </row>
    <row r="441" spans="1:13">
      <c r="A441" s="25" t="s">
        <v>141</v>
      </c>
      <c r="B441" s="25">
        <v>1</v>
      </c>
      <c r="C441" s="25">
        <v>0</v>
      </c>
      <c r="D441" s="20">
        <v>37268.226999999999</v>
      </c>
      <c r="E441" s="20">
        <v>2668.817</v>
      </c>
      <c r="F441" s="20">
        <v>1599.41</v>
      </c>
      <c r="G441" s="20">
        <v>33000</v>
      </c>
      <c r="H441" s="27">
        <v>33</v>
      </c>
      <c r="I441" s="20">
        <v>98.11</v>
      </c>
      <c r="J441" s="11" t="s">
        <v>170</v>
      </c>
      <c r="K441" s="11" t="s">
        <v>170</v>
      </c>
      <c r="L441" s="11"/>
      <c r="M441" s="18">
        <f t="shared" si="6"/>
        <v>37268.226999999999</v>
      </c>
    </row>
    <row r="442" spans="1:13">
      <c r="A442" s="25" t="s">
        <v>141</v>
      </c>
      <c r="B442" s="25">
        <v>2</v>
      </c>
      <c r="C442" s="25">
        <v>1</v>
      </c>
      <c r="D442" s="20">
        <v>40097.667999999998</v>
      </c>
      <c r="E442" s="20">
        <v>3429.1190000000001</v>
      </c>
      <c r="F442" s="20">
        <v>1668.548</v>
      </c>
      <c r="G442" s="20">
        <v>35000</v>
      </c>
      <c r="H442" s="27">
        <v>35</v>
      </c>
      <c r="I442" s="20">
        <v>95.221000000000004</v>
      </c>
      <c r="J442" s="11" t="s">
        <v>170</v>
      </c>
      <c r="K442" s="11" t="s">
        <v>170</v>
      </c>
      <c r="L442" s="11"/>
      <c r="M442" s="18">
        <f>IF(AND(J442="Yes",K442="Yes",ISNUMBER(D442)),D442,"")</f>
        <v>40097.667999999998</v>
      </c>
    </row>
    <row r="443" spans="1:13">
      <c r="A443" s="25" t="s">
        <v>141</v>
      </c>
      <c r="B443" s="25">
        <v>3</v>
      </c>
      <c r="C443" s="25">
        <v>2</v>
      </c>
      <c r="D443" s="20">
        <v>38608.684000000001</v>
      </c>
      <c r="E443" s="20">
        <v>2904.6660000000002</v>
      </c>
      <c r="F443" s="20">
        <v>1704.018</v>
      </c>
      <c r="G443" s="20">
        <v>34000</v>
      </c>
      <c r="H443" s="27">
        <v>34</v>
      </c>
      <c r="I443" s="20">
        <v>104.803</v>
      </c>
      <c r="J443" s="11" t="s">
        <v>170</v>
      </c>
      <c r="K443" s="11" t="s">
        <v>170</v>
      </c>
      <c r="L443" s="11"/>
      <c r="M443" s="18">
        <f t="shared" si="6"/>
        <v>38608.684000000001</v>
      </c>
    </row>
    <row r="444" spans="1:13">
      <c r="A444" s="25" t="s">
        <v>141</v>
      </c>
      <c r="B444" s="25">
        <v>4</v>
      </c>
      <c r="C444" s="25">
        <v>3</v>
      </c>
      <c r="D444" s="20">
        <v>39030.578999999998</v>
      </c>
      <c r="E444" s="20">
        <v>3340.3760000000002</v>
      </c>
      <c r="F444" s="20">
        <v>1690.203</v>
      </c>
      <c r="G444" s="20">
        <v>34000</v>
      </c>
      <c r="H444" s="27">
        <v>34</v>
      </c>
      <c r="I444" s="20">
        <v>101.252</v>
      </c>
      <c r="J444" s="11" t="s">
        <v>170</v>
      </c>
      <c r="K444" s="11" t="s">
        <v>170</v>
      </c>
      <c r="L444" s="11"/>
      <c r="M444" s="18">
        <f t="shared" si="6"/>
        <v>39030.578999999998</v>
      </c>
    </row>
    <row r="445" spans="1:13">
      <c r="A445" s="25" t="s">
        <v>141</v>
      </c>
      <c r="B445" s="25">
        <v>5</v>
      </c>
      <c r="C445" s="25">
        <v>4</v>
      </c>
      <c r="D445" s="20">
        <v>35607.175000000003</v>
      </c>
      <c r="E445" s="20">
        <v>2943.7220000000002</v>
      </c>
      <c r="F445" s="20">
        <v>1663.454</v>
      </c>
      <c r="G445" s="20">
        <v>31000</v>
      </c>
      <c r="H445" s="27">
        <v>31</v>
      </c>
      <c r="I445" s="20">
        <v>108.583</v>
      </c>
      <c r="J445" s="11" t="s">
        <v>170</v>
      </c>
      <c r="K445" s="11" t="s">
        <v>170</v>
      </c>
      <c r="L445" s="11"/>
      <c r="M445" s="18">
        <f t="shared" si="6"/>
        <v>35607.175000000003</v>
      </c>
    </row>
    <row r="446" spans="1:13">
      <c r="A446" s="25" t="s">
        <v>142</v>
      </c>
      <c r="B446" s="25">
        <v>1</v>
      </c>
      <c r="C446" s="25">
        <v>0</v>
      </c>
      <c r="D446" s="20">
        <v>37054.112000000001</v>
      </c>
      <c r="E446" s="20">
        <v>4390.2420000000002</v>
      </c>
      <c r="F446" s="20">
        <v>1663.8689999999999</v>
      </c>
      <c r="G446" s="20">
        <v>31000</v>
      </c>
      <c r="H446" s="27">
        <v>31</v>
      </c>
      <c r="I446" s="20">
        <v>97.998000000000005</v>
      </c>
      <c r="J446" s="11" t="s">
        <v>170</v>
      </c>
      <c r="K446" s="11" t="s">
        <v>170</v>
      </c>
      <c r="L446" s="11"/>
      <c r="M446" s="18">
        <f t="shared" si="6"/>
        <v>37054.112000000001</v>
      </c>
    </row>
    <row r="447" spans="1:13">
      <c r="A447" s="25" t="s">
        <v>142</v>
      </c>
      <c r="B447" s="25">
        <v>2</v>
      </c>
      <c r="C447" s="25">
        <v>1</v>
      </c>
      <c r="D447" s="20">
        <v>37562.798999999999</v>
      </c>
      <c r="E447" s="20">
        <v>3987.0880000000002</v>
      </c>
      <c r="F447" s="20">
        <v>1575.711</v>
      </c>
      <c r="G447" s="20">
        <v>32000</v>
      </c>
      <c r="H447" s="27">
        <v>32</v>
      </c>
      <c r="I447" s="20">
        <v>90.864999999999995</v>
      </c>
      <c r="J447" s="11" t="s">
        <v>170</v>
      </c>
      <c r="K447" s="11" t="s">
        <v>170</v>
      </c>
      <c r="L447" s="11"/>
      <c r="M447" s="18">
        <f t="shared" si="6"/>
        <v>37562.798999999999</v>
      </c>
    </row>
    <row r="448" spans="1:13">
      <c r="A448" s="25" t="s">
        <v>142</v>
      </c>
      <c r="B448" s="25">
        <v>3</v>
      </c>
      <c r="C448" s="25">
        <v>2</v>
      </c>
      <c r="D448" s="20">
        <v>40052.663999999997</v>
      </c>
      <c r="E448" s="20">
        <v>3314.922</v>
      </c>
      <c r="F448" s="20">
        <v>1737.7429999999999</v>
      </c>
      <c r="G448" s="20">
        <v>35000</v>
      </c>
      <c r="H448" s="27">
        <v>35</v>
      </c>
      <c r="I448" s="20">
        <v>90.266999999999996</v>
      </c>
      <c r="J448" s="11" t="s">
        <v>170</v>
      </c>
      <c r="K448" s="11" t="s">
        <v>170</v>
      </c>
      <c r="L448" s="11"/>
      <c r="M448" s="18">
        <f t="shared" si="6"/>
        <v>40052.663999999997</v>
      </c>
    </row>
    <row r="449" spans="1:13">
      <c r="A449" s="25" t="s">
        <v>142</v>
      </c>
      <c r="B449" s="25">
        <v>4</v>
      </c>
      <c r="C449" s="25">
        <v>3</v>
      </c>
      <c r="D449" s="20">
        <v>43875.582000000002</v>
      </c>
      <c r="E449" s="20">
        <v>4218.7839999999997</v>
      </c>
      <c r="F449" s="20">
        <v>1656.798</v>
      </c>
      <c r="G449" s="20">
        <v>38000</v>
      </c>
      <c r="H449" s="27">
        <v>38</v>
      </c>
      <c r="I449" s="20">
        <v>97.662000000000006</v>
      </c>
      <c r="J449" s="11" t="s">
        <v>170</v>
      </c>
      <c r="K449" s="11" t="s">
        <v>170</v>
      </c>
      <c r="L449" s="11"/>
      <c r="M449" s="18">
        <f t="shared" si="6"/>
        <v>43875.582000000002</v>
      </c>
    </row>
    <row r="450" spans="1:13">
      <c r="A450" s="25" t="s">
        <v>142</v>
      </c>
      <c r="B450" s="25">
        <v>5</v>
      </c>
      <c r="C450" s="25">
        <v>4</v>
      </c>
      <c r="D450" s="20">
        <v>36218.120000000003</v>
      </c>
      <c r="E450" s="20">
        <v>3584.6410000000001</v>
      </c>
      <c r="F450" s="20">
        <v>1633.479</v>
      </c>
      <c r="G450" s="20">
        <v>31000</v>
      </c>
      <c r="H450" s="27">
        <v>31</v>
      </c>
      <c r="I450" s="20">
        <v>98.15</v>
      </c>
      <c r="J450" s="11" t="s">
        <v>170</v>
      </c>
      <c r="K450" s="11" t="s">
        <v>170</v>
      </c>
      <c r="L450" s="11"/>
      <c r="M450" s="18">
        <f t="shared" si="6"/>
        <v>36218.120000000003</v>
      </c>
    </row>
    <row r="451" spans="1:13">
      <c r="A451" s="25" t="s">
        <v>143</v>
      </c>
      <c r="B451" s="25">
        <v>1</v>
      </c>
      <c r="C451" s="25">
        <v>0</v>
      </c>
      <c r="D451" s="20">
        <v>37067.894</v>
      </c>
      <c r="E451" s="20">
        <v>4382.8900000000003</v>
      </c>
      <c r="F451" s="20">
        <v>1685.0039999999999</v>
      </c>
      <c r="G451" s="20">
        <v>31000</v>
      </c>
      <c r="H451" s="27">
        <v>31</v>
      </c>
      <c r="I451" s="20">
        <v>88.566000000000003</v>
      </c>
      <c r="J451" s="11" t="s">
        <v>170</v>
      </c>
      <c r="K451" s="11" t="s">
        <v>170</v>
      </c>
      <c r="L451" s="11"/>
      <c r="M451" s="18">
        <f t="shared" si="6"/>
        <v>37067.894</v>
      </c>
    </row>
    <row r="452" spans="1:13">
      <c r="A452" s="25" t="s">
        <v>143</v>
      </c>
      <c r="B452" s="25">
        <v>2</v>
      </c>
      <c r="C452" s="25">
        <v>1</v>
      </c>
      <c r="D452" s="20">
        <v>35116.709000000003</v>
      </c>
      <c r="E452" s="20">
        <v>4443.6049999999996</v>
      </c>
      <c r="F452" s="20">
        <v>1673.105</v>
      </c>
      <c r="G452" s="20">
        <v>29000</v>
      </c>
      <c r="H452" s="27">
        <v>29</v>
      </c>
      <c r="I452" s="20">
        <v>93.975999999999999</v>
      </c>
      <c r="J452" s="11" t="s">
        <v>170</v>
      </c>
      <c r="K452" s="11" t="s">
        <v>170</v>
      </c>
      <c r="L452" s="11"/>
      <c r="M452" s="18">
        <f t="shared" si="6"/>
        <v>35116.709000000003</v>
      </c>
    </row>
    <row r="453" spans="1:13">
      <c r="A453" s="25" t="s">
        <v>143</v>
      </c>
      <c r="B453" s="25">
        <v>3</v>
      </c>
      <c r="C453" s="25">
        <v>2</v>
      </c>
      <c r="D453" s="20">
        <v>36619.767999999996</v>
      </c>
      <c r="E453" s="20">
        <v>4882.9930000000004</v>
      </c>
      <c r="F453" s="20">
        <v>1736.7760000000001</v>
      </c>
      <c r="G453" s="20">
        <v>30000</v>
      </c>
      <c r="H453" s="27">
        <v>30</v>
      </c>
      <c r="I453" s="20">
        <v>90.603999999999999</v>
      </c>
      <c r="J453" s="11" t="s">
        <v>170</v>
      </c>
      <c r="K453" s="11" t="s">
        <v>170</v>
      </c>
      <c r="L453" s="11"/>
      <c r="M453" s="18">
        <f t="shared" si="6"/>
        <v>36619.767999999996</v>
      </c>
    </row>
    <row r="454" spans="1:13">
      <c r="A454" s="25" t="s">
        <v>143</v>
      </c>
      <c r="B454" s="25">
        <v>4</v>
      </c>
      <c r="C454" s="25">
        <v>3</v>
      </c>
      <c r="D454" s="20">
        <v>35960.819000000003</v>
      </c>
      <c r="E454" s="20">
        <v>4357.7849999999999</v>
      </c>
      <c r="F454" s="20">
        <v>1603.0340000000001</v>
      </c>
      <c r="G454" s="20">
        <v>30000</v>
      </c>
      <c r="H454" s="27">
        <v>30</v>
      </c>
      <c r="I454" s="20">
        <v>93.528999999999996</v>
      </c>
      <c r="J454" s="11" t="s">
        <v>170</v>
      </c>
      <c r="K454" s="11" t="s">
        <v>170</v>
      </c>
      <c r="L454" s="11"/>
      <c r="M454" s="18">
        <f t="shared" ref="M454:M505" si="7">IF(AND(J454="Yes",K454="Yes",ISNUMBER(D454)),D454,"")</f>
        <v>35960.819000000003</v>
      </c>
    </row>
    <row r="455" spans="1:13">
      <c r="A455" s="25" t="s">
        <v>143</v>
      </c>
      <c r="B455" s="25">
        <v>5</v>
      </c>
      <c r="C455" s="25">
        <v>4</v>
      </c>
      <c r="D455" s="20">
        <v>37540.292000000001</v>
      </c>
      <c r="E455" s="20">
        <v>3880.5459999999998</v>
      </c>
      <c r="F455" s="20">
        <v>1659.7460000000001</v>
      </c>
      <c r="G455" s="20">
        <v>32000</v>
      </c>
      <c r="H455" s="27">
        <v>32</v>
      </c>
      <c r="I455" s="20">
        <v>91.736999999999995</v>
      </c>
      <c r="J455" s="11" t="s">
        <v>170</v>
      </c>
      <c r="K455" s="11" t="s">
        <v>170</v>
      </c>
      <c r="L455" s="11"/>
      <c r="M455" s="18">
        <f t="shared" si="7"/>
        <v>37540.292000000001</v>
      </c>
    </row>
    <row r="456" spans="1:13">
      <c r="A456" s="25" t="s">
        <v>144</v>
      </c>
      <c r="B456" s="25">
        <v>1</v>
      </c>
      <c r="C456" s="25">
        <v>0</v>
      </c>
      <c r="D456" s="20">
        <v>28624.787</v>
      </c>
      <c r="E456" s="20">
        <v>787.75800000000004</v>
      </c>
      <c r="F456" s="20">
        <v>1837.029</v>
      </c>
      <c r="G456" s="20">
        <v>26000</v>
      </c>
      <c r="H456" s="27">
        <v>26</v>
      </c>
      <c r="I456" s="20">
        <v>95.685000000000002</v>
      </c>
      <c r="J456" s="11" t="s">
        <v>170</v>
      </c>
      <c r="K456" s="11" t="s">
        <v>170</v>
      </c>
      <c r="L456" s="11"/>
      <c r="M456" s="18">
        <f t="shared" si="7"/>
        <v>28624.787</v>
      </c>
    </row>
    <row r="457" spans="1:13">
      <c r="A457" s="25" t="s">
        <v>144</v>
      </c>
      <c r="B457" s="25">
        <v>2</v>
      </c>
      <c r="C457" s="25">
        <v>1</v>
      </c>
      <c r="D457" s="20">
        <v>25541.195</v>
      </c>
      <c r="E457" s="20">
        <v>692.58100000000002</v>
      </c>
      <c r="F457" s="20">
        <v>1848.6130000000001</v>
      </c>
      <c r="G457" s="20">
        <v>23000</v>
      </c>
      <c r="H457" s="27">
        <v>23</v>
      </c>
      <c r="I457" s="20">
        <v>114.52200000000001</v>
      </c>
      <c r="J457" s="11" t="s">
        <v>170</v>
      </c>
      <c r="K457" s="11" t="s">
        <v>170</v>
      </c>
      <c r="L457" s="11"/>
      <c r="M457" s="18">
        <f t="shared" si="7"/>
        <v>25541.195</v>
      </c>
    </row>
    <row r="458" spans="1:13">
      <c r="A458" s="25" t="s">
        <v>144</v>
      </c>
      <c r="B458" s="25">
        <v>3</v>
      </c>
      <c r="C458" s="25">
        <v>2</v>
      </c>
      <c r="D458" s="20">
        <v>26261.919000000002</v>
      </c>
      <c r="E458" s="20">
        <v>331.858</v>
      </c>
      <c r="F458" s="20">
        <v>1930.0619999999999</v>
      </c>
      <c r="G458" s="20">
        <v>24000</v>
      </c>
      <c r="H458" s="27">
        <v>24</v>
      </c>
      <c r="I458" s="20">
        <v>108.483</v>
      </c>
      <c r="J458" s="11" t="s">
        <v>170</v>
      </c>
      <c r="K458" s="11" t="s">
        <v>170</v>
      </c>
      <c r="L458" s="11"/>
      <c r="M458" s="18">
        <f t="shared" si="7"/>
        <v>26261.919000000002</v>
      </c>
    </row>
    <row r="459" spans="1:13">
      <c r="A459" s="25" t="s">
        <v>144</v>
      </c>
      <c r="B459" s="25">
        <v>4</v>
      </c>
      <c r="C459" s="25">
        <v>3</v>
      </c>
      <c r="D459" s="20">
        <v>26608.528999999999</v>
      </c>
      <c r="E459" s="20">
        <v>726.02200000000005</v>
      </c>
      <c r="F459" s="20">
        <v>1882.5070000000001</v>
      </c>
      <c r="G459" s="20">
        <v>24000</v>
      </c>
      <c r="H459" s="27">
        <v>24</v>
      </c>
      <c r="I459" s="20">
        <v>108.364</v>
      </c>
      <c r="J459" s="11" t="s">
        <v>170</v>
      </c>
      <c r="K459" s="11" t="s">
        <v>170</v>
      </c>
      <c r="L459" s="11"/>
      <c r="M459" s="18">
        <f t="shared" si="7"/>
        <v>26608.528999999999</v>
      </c>
    </row>
    <row r="460" spans="1:13">
      <c r="A460" s="25" t="s">
        <v>144</v>
      </c>
      <c r="B460" s="25">
        <v>5</v>
      </c>
      <c r="C460" s="25">
        <v>4</v>
      </c>
      <c r="D460" s="20">
        <v>24722.965</v>
      </c>
      <c r="E460" s="20">
        <v>732.36400000000003</v>
      </c>
      <c r="F460" s="20">
        <v>1990.6020000000001</v>
      </c>
      <c r="G460" s="20">
        <v>22000</v>
      </c>
      <c r="H460" s="27">
        <v>22</v>
      </c>
      <c r="I460" s="20">
        <v>108.27800000000001</v>
      </c>
      <c r="J460" s="11" t="s">
        <v>170</v>
      </c>
      <c r="K460" s="11" t="s">
        <v>170</v>
      </c>
      <c r="L460" s="11"/>
      <c r="M460" s="18">
        <f t="shared" si="7"/>
        <v>24722.965</v>
      </c>
    </row>
    <row r="461" spans="1:13">
      <c r="A461" s="25" t="s">
        <v>145</v>
      </c>
      <c r="B461" s="25">
        <v>1</v>
      </c>
      <c r="C461" s="25">
        <v>0</v>
      </c>
      <c r="D461" s="20">
        <v>26534.737000000001</v>
      </c>
      <c r="E461" s="20">
        <v>1526.3389999999999</v>
      </c>
      <c r="F461" s="20">
        <v>2008.3979999999999</v>
      </c>
      <c r="G461" s="20">
        <v>23000</v>
      </c>
      <c r="H461" s="27">
        <v>23</v>
      </c>
      <c r="I461" s="20">
        <v>103.96599999999999</v>
      </c>
      <c r="J461" s="11" t="s">
        <v>170</v>
      </c>
      <c r="K461" s="11" t="s">
        <v>170</v>
      </c>
      <c r="L461" s="11"/>
      <c r="M461" s="18">
        <f t="shared" si="7"/>
        <v>26534.737000000001</v>
      </c>
    </row>
    <row r="462" spans="1:13">
      <c r="A462" s="25" t="s">
        <v>145</v>
      </c>
      <c r="B462" s="25">
        <v>2</v>
      </c>
      <c r="C462" s="25">
        <v>1</v>
      </c>
      <c r="D462" s="20">
        <v>25652.491000000002</v>
      </c>
      <c r="E462" s="20">
        <v>1791.2750000000001</v>
      </c>
      <c r="F462" s="20">
        <v>1861.2159999999999</v>
      </c>
      <c r="G462" s="20">
        <v>22000</v>
      </c>
      <c r="H462" s="27">
        <v>22</v>
      </c>
      <c r="I462" s="20">
        <v>107.367</v>
      </c>
      <c r="J462" s="11" t="s">
        <v>170</v>
      </c>
      <c r="K462" s="11" t="s">
        <v>170</v>
      </c>
      <c r="L462" s="11"/>
      <c r="M462" s="18">
        <f t="shared" si="7"/>
        <v>25652.491000000002</v>
      </c>
    </row>
    <row r="463" spans="1:13">
      <c r="A463" s="25" t="s">
        <v>145</v>
      </c>
      <c r="B463" s="25">
        <v>3</v>
      </c>
      <c r="C463" s="25">
        <v>2</v>
      </c>
      <c r="D463" s="20">
        <v>22849.493999999999</v>
      </c>
      <c r="E463" s="20">
        <v>1834.309</v>
      </c>
      <c r="F463" s="20">
        <v>2015.1859999999999</v>
      </c>
      <c r="G463" s="20">
        <v>19000</v>
      </c>
      <c r="H463" s="27">
        <v>19</v>
      </c>
      <c r="I463" s="20">
        <v>105.684</v>
      </c>
      <c r="J463" s="11" t="s">
        <v>170</v>
      </c>
      <c r="K463" s="11" t="s">
        <v>170</v>
      </c>
      <c r="L463" s="11"/>
      <c r="M463" s="18">
        <f t="shared" si="7"/>
        <v>22849.493999999999</v>
      </c>
    </row>
    <row r="464" spans="1:13">
      <c r="A464" s="25" t="s">
        <v>145</v>
      </c>
      <c r="B464" s="25">
        <v>4</v>
      </c>
      <c r="C464" s="25">
        <v>3</v>
      </c>
      <c r="D464" s="20">
        <v>26335.178</v>
      </c>
      <c r="E464" s="20">
        <v>1365.0530000000001</v>
      </c>
      <c r="F464" s="20">
        <v>1970.125</v>
      </c>
      <c r="G464" s="20">
        <v>23000</v>
      </c>
      <c r="H464" s="27">
        <v>23</v>
      </c>
      <c r="I464" s="20">
        <v>103.51300000000001</v>
      </c>
      <c r="J464" s="11" t="s">
        <v>170</v>
      </c>
      <c r="K464" s="11" t="s">
        <v>170</v>
      </c>
      <c r="L464" s="11"/>
      <c r="M464" s="18">
        <f t="shared" si="7"/>
        <v>26335.178</v>
      </c>
    </row>
    <row r="465" spans="1:13">
      <c r="A465" s="25" t="s">
        <v>145</v>
      </c>
      <c r="B465" s="25">
        <v>5</v>
      </c>
      <c r="C465" s="25">
        <v>4</v>
      </c>
      <c r="D465" s="20">
        <v>24746.175999999999</v>
      </c>
      <c r="E465" s="20">
        <v>895.83199999999999</v>
      </c>
      <c r="F465" s="20">
        <v>1850.3440000000001</v>
      </c>
      <c r="G465" s="20">
        <v>22000</v>
      </c>
      <c r="H465" s="27">
        <v>22</v>
      </c>
      <c r="I465" s="20">
        <v>100.47199999999999</v>
      </c>
      <c r="J465" s="11" t="s">
        <v>170</v>
      </c>
      <c r="K465" s="11" t="s">
        <v>170</v>
      </c>
      <c r="L465" s="11"/>
      <c r="M465" s="18">
        <f t="shared" si="7"/>
        <v>24746.175999999999</v>
      </c>
    </row>
    <row r="466" spans="1:13">
      <c r="A466" s="25" t="s">
        <v>146</v>
      </c>
      <c r="B466" s="25">
        <v>1</v>
      </c>
      <c r="C466" s="25">
        <v>0</v>
      </c>
      <c r="D466" s="20">
        <v>22631.595000000001</v>
      </c>
      <c r="E466" s="20">
        <v>2748.319</v>
      </c>
      <c r="F466" s="20">
        <v>1883.2760000000001</v>
      </c>
      <c r="G466" s="20">
        <v>18000</v>
      </c>
      <c r="H466" s="27">
        <v>18</v>
      </c>
      <c r="I466" s="20">
        <v>103.59</v>
      </c>
      <c r="J466" s="11" t="s">
        <v>170</v>
      </c>
      <c r="K466" s="11" t="s">
        <v>170</v>
      </c>
      <c r="L466" s="11"/>
      <c r="M466" s="18">
        <f t="shared" si="7"/>
        <v>22631.595000000001</v>
      </c>
    </row>
    <row r="467" spans="1:13">
      <c r="A467" s="25" t="s">
        <v>146</v>
      </c>
      <c r="B467" s="25">
        <v>2</v>
      </c>
      <c r="C467" s="25">
        <v>1</v>
      </c>
      <c r="D467" s="20">
        <v>24732.861000000001</v>
      </c>
      <c r="E467" s="20">
        <v>2754.7040000000002</v>
      </c>
      <c r="F467" s="20">
        <v>1978.1569999999999</v>
      </c>
      <c r="G467" s="20">
        <v>20000</v>
      </c>
      <c r="H467" s="27">
        <v>20</v>
      </c>
      <c r="I467" s="20">
        <v>101.68300000000001</v>
      </c>
      <c r="J467" s="11" t="s">
        <v>170</v>
      </c>
      <c r="K467" s="11" t="s">
        <v>170</v>
      </c>
      <c r="L467" s="11"/>
      <c r="M467" s="18">
        <f t="shared" si="7"/>
        <v>24732.861000000001</v>
      </c>
    </row>
    <row r="468" spans="1:13">
      <c r="A468" s="25" t="s">
        <v>146</v>
      </c>
      <c r="B468" s="25">
        <v>3</v>
      </c>
      <c r="C468" s="25">
        <v>2</v>
      </c>
      <c r="D468" s="20">
        <v>30395.31</v>
      </c>
      <c r="E468" s="20">
        <v>2523.3870000000002</v>
      </c>
      <c r="F468" s="20">
        <v>1871.923</v>
      </c>
      <c r="G468" s="20">
        <v>26000</v>
      </c>
      <c r="H468" s="27">
        <v>26</v>
      </c>
      <c r="I468" s="20">
        <v>100.679</v>
      </c>
      <c r="J468" s="11" t="s">
        <v>170</v>
      </c>
      <c r="K468" s="11" t="s">
        <v>170</v>
      </c>
      <c r="L468" s="11"/>
      <c r="M468" s="18">
        <f t="shared" si="7"/>
        <v>30395.31</v>
      </c>
    </row>
    <row r="469" spans="1:13">
      <c r="A469" s="25" t="s">
        <v>146</v>
      </c>
      <c r="B469" s="25">
        <v>4</v>
      </c>
      <c r="C469" s="25">
        <v>3</v>
      </c>
      <c r="D469" s="20">
        <v>24137.151999999998</v>
      </c>
      <c r="E469" s="20">
        <v>3286.8620000000001</v>
      </c>
      <c r="F469" s="20">
        <v>1850.289</v>
      </c>
      <c r="G469" s="20">
        <v>19000</v>
      </c>
      <c r="H469" s="27">
        <v>19</v>
      </c>
      <c r="I469" s="20">
        <v>103.217</v>
      </c>
      <c r="J469" s="11" t="s">
        <v>170</v>
      </c>
      <c r="K469" s="11" t="s">
        <v>170</v>
      </c>
      <c r="L469" s="11"/>
      <c r="M469" s="18">
        <f t="shared" si="7"/>
        <v>24137.151999999998</v>
      </c>
    </row>
    <row r="470" spans="1:13">
      <c r="A470" s="25" t="s">
        <v>146</v>
      </c>
      <c r="B470" s="25">
        <v>5</v>
      </c>
      <c r="C470" s="25">
        <v>4</v>
      </c>
      <c r="D470" s="20">
        <v>29624.263999999999</v>
      </c>
      <c r="E470" s="20">
        <v>3772.4670000000001</v>
      </c>
      <c r="F470" s="20">
        <v>1851.797</v>
      </c>
      <c r="G470" s="20">
        <v>24000</v>
      </c>
      <c r="H470" s="27">
        <v>24</v>
      </c>
      <c r="I470" s="20">
        <v>104.069</v>
      </c>
      <c r="J470" s="11" t="s">
        <v>170</v>
      </c>
      <c r="K470" s="11" t="s">
        <v>170</v>
      </c>
      <c r="L470" s="11"/>
      <c r="M470" s="18">
        <f t="shared" si="7"/>
        <v>29624.263999999999</v>
      </c>
    </row>
    <row r="471" spans="1:13">
      <c r="A471" s="25" t="s">
        <v>147</v>
      </c>
      <c r="B471" s="25">
        <v>1</v>
      </c>
      <c r="C471" s="25">
        <v>0</v>
      </c>
      <c r="D471" s="20">
        <v>25156.965</v>
      </c>
      <c r="E471" s="20">
        <v>4279.2309999999998</v>
      </c>
      <c r="F471" s="20">
        <v>1877.7339999999999</v>
      </c>
      <c r="G471" s="20">
        <v>19000</v>
      </c>
      <c r="H471" s="27">
        <v>19</v>
      </c>
      <c r="I471" s="20">
        <v>94.025000000000006</v>
      </c>
      <c r="J471" s="11" t="s">
        <v>170</v>
      </c>
      <c r="K471" s="11" t="s">
        <v>170</v>
      </c>
      <c r="L471" s="11"/>
      <c r="M471" s="18">
        <f t="shared" si="7"/>
        <v>25156.965</v>
      </c>
    </row>
    <row r="472" spans="1:13">
      <c r="A472" s="25" t="s">
        <v>147</v>
      </c>
      <c r="B472" s="25">
        <v>2</v>
      </c>
      <c r="C472" s="25">
        <v>1</v>
      </c>
      <c r="D472" s="20">
        <v>25850.607</v>
      </c>
      <c r="E472" s="20">
        <v>4972.5439999999999</v>
      </c>
      <c r="F472" s="20">
        <v>1878.0630000000001</v>
      </c>
      <c r="G472" s="20">
        <v>19000</v>
      </c>
      <c r="H472" s="27">
        <v>19</v>
      </c>
      <c r="I472" s="20">
        <v>100.3</v>
      </c>
      <c r="J472" s="11" t="s">
        <v>170</v>
      </c>
      <c r="K472" s="11" t="s">
        <v>170</v>
      </c>
      <c r="L472" s="11"/>
      <c r="M472" s="18">
        <f t="shared" si="7"/>
        <v>25850.607</v>
      </c>
    </row>
    <row r="473" spans="1:13">
      <c r="A473" s="25" t="s">
        <v>147</v>
      </c>
      <c r="B473" s="25">
        <v>3</v>
      </c>
      <c r="C473" s="25">
        <v>2</v>
      </c>
      <c r="D473" s="20">
        <v>33253.817999999999</v>
      </c>
      <c r="E473" s="20">
        <v>4421.9920000000002</v>
      </c>
      <c r="F473" s="20">
        <v>1831.826</v>
      </c>
      <c r="G473" s="20">
        <v>27000</v>
      </c>
      <c r="H473" s="27">
        <v>27</v>
      </c>
      <c r="I473" s="20">
        <v>99.234999999999999</v>
      </c>
      <c r="J473" s="11" t="s">
        <v>170</v>
      </c>
      <c r="K473" s="11" t="s">
        <v>170</v>
      </c>
      <c r="L473" s="11"/>
      <c r="M473" s="18">
        <f t="shared" si="7"/>
        <v>33253.817999999999</v>
      </c>
    </row>
    <row r="474" spans="1:13">
      <c r="A474" s="25" t="s">
        <v>147</v>
      </c>
      <c r="B474" s="25">
        <v>4</v>
      </c>
      <c r="C474" s="25">
        <v>3</v>
      </c>
      <c r="D474" s="20">
        <v>25425.935000000001</v>
      </c>
      <c r="E474" s="20">
        <v>4535.0879999999997</v>
      </c>
      <c r="F474" s="20">
        <v>1890.847</v>
      </c>
      <c r="G474" s="20">
        <v>19000</v>
      </c>
      <c r="H474" s="27">
        <v>19</v>
      </c>
      <c r="I474" s="20">
        <v>101.76900000000001</v>
      </c>
      <c r="J474" s="11" t="s">
        <v>170</v>
      </c>
      <c r="K474" s="11" t="s">
        <v>170</v>
      </c>
      <c r="L474" s="11"/>
      <c r="M474" s="18">
        <f t="shared" si="7"/>
        <v>25425.935000000001</v>
      </c>
    </row>
    <row r="475" spans="1:13">
      <c r="A475" s="25" t="s">
        <v>147</v>
      </c>
      <c r="B475" s="25">
        <v>5</v>
      </c>
      <c r="C475" s="25">
        <v>4</v>
      </c>
      <c r="D475" s="20">
        <v>23645.463</v>
      </c>
      <c r="E475" s="20">
        <v>5868.1729999999998</v>
      </c>
      <c r="F475" s="20">
        <v>1777.29</v>
      </c>
      <c r="G475" s="20">
        <v>16000</v>
      </c>
      <c r="H475" s="27">
        <v>16</v>
      </c>
      <c r="I475" s="20">
        <v>101.03100000000001</v>
      </c>
      <c r="J475" s="11" t="s">
        <v>170</v>
      </c>
      <c r="K475" s="11" t="s">
        <v>170</v>
      </c>
      <c r="L475" s="11"/>
      <c r="M475" s="18">
        <f t="shared" si="7"/>
        <v>23645.463</v>
      </c>
    </row>
    <row r="476" spans="1:13">
      <c r="A476" s="25" t="s">
        <v>148</v>
      </c>
      <c r="B476" s="25">
        <v>1</v>
      </c>
      <c r="C476" s="25">
        <v>0</v>
      </c>
      <c r="D476" s="20">
        <v>26959.365000000002</v>
      </c>
      <c r="E476" s="20">
        <v>5173.8630000000003</v>
      </c>
      <c r="F476" s="20">
        <v>1785.501</v>
      </c>
      <c r="G476" s="20">
        <v>20000</v>
      </c>
      <c r="H476" s="27">
        <v>20</v>
      </c>
      <c r="I476" s="20">
        <v>91.004999999999995</v>
      </c>
      <c r="J476" s="11" t="s">
        <v>170</v>
      </c>
      <c r="K476" s="11" t="s">
        <v>170</v>
      </c>
      <c r="L476" s="11"/>
      <c r="M476" s="18">
        <f t="shared" si="7"/>
        <v>26959.365000000002</v>
      </c>
    </row>
    <row r="477" spans="1:13">
      <c r="A477" s="25" t="s">
        <v>148</v>
      </c>
      <c r="B477" s="25">
        <v>2</v>
      </c>
      <c r="C477" s="25">
        <v>1</v>
      </c>
      <c r="D477" s="20">
        <v>22669.069</v>
      </c>
      <c r="E477" s="20">
        <v>4860.5529999999999</v>
      </c>
      <c r="F477" s="20">
        <v>1808.5170000000001</v>
      </c>
      <c r="G477" s="20">
        <v>16000</v>
      </c>
      <c r="H477" s="27">
        <v>16</v>
      </c>
      <c r="I477" s="20">
        <v>88.478999999999999</v>
      </c>
      <c r="J477" s="11" t="s">
        <v>170</v>
      </c>
      <c r="K477" s="11" t="s">
        <v>170</v>
      </c>
      <c r="L477" s="11"/>
      <c r="M477" s="18">
        <f t="shared" si="7"/>
        <v>22669.069</v>
      </c>
    </row>
    <row r="478" spans="1:13">
      <c r="A478" s="25" t="s">
        <v>148</v>
      </c>
      <c r="B478" s="25">
        <v>3</v>
      </c>
      <c r="C478" s="25">
        <v>2</v>
      </c>
      <c r="D478" s="20">
        <v>25413.339</v>
      </c>
      <c r="E478" s="20">
        <v>4566.0860000000002</v>
      </c>
      <c r="F478" s="20">
        <v>1847.2529999999999</v>
      </c>
      <c r="G478" s="20">
        <v>19000</v>
      </c>
      <c r="H478" s="27">
        <v>19</v>
      </c>
      <c r="I478" s="20">
        <v>87.519000000000005</v>
      </c>
      <c r="J478" s="11" t="s">
        <v>170</v>
      </c>
      <c r="K478" s="11" t="s">
        <v>170</v>
      </c>
      <c r="L478" s="11"/>
      <c r="M478" s="18">
        <f t="shared" si="7"/>
        <v>25413.339</v>
      </c>
    </row>
    <row r="479" spans="1:13">
      <c r="A479" s="25" t="s">
        <v>148</v>
      </c>
      <c r="B479" s="25">
        <v>4</v>
      </c>
      <c r="C479" s="25">
        <v>3</v>
      </c>
      <c r="D479" s="20">
        <v>30111.365000000002</v>
      </c>
      <c r="E479" s="20">
        <v>6274.0540000000001</v>
      </c>
      <c r="F479" s="20">
        <v>1837.3119999999999</v>
      </c>
      <c r="G479" s="20">
        <v>22000</v>
      </c>
      <c r="H479" s="27">
        <v>22</v>
      </c>
      <c r="I479" s="20">
        <v>90.786000000000001</v>
      </c>
      <c r="J479" s="11" t="s">
        <v>170</v>
      </c>
      <c r="K479" s="11" t="s">
        <v>170</v>
      </c>
      <c r="L479" s="11"/>
      <c r="M479" s="18">
        <f t="shared" si="7"/>
        <v>30111.365000000002</v>
      </c>
    </row>
    <row r="480" spans="1:13">
      <c r="A480" s="25" t="s">
        <v>148</v>
      </c>
      <c r="B480" s="25">
        <v>5</v>
      </c>
      <c r="C480" s="25">
        <v>4</v>
      </c>
      <c r="D480" s="20">
        <v>26547.655999999999</v>
      </c>
      <c r="E480" s="20">
        <v>5593.5739999999996</v>
      </c>
      <c r="F480" s="20">
        <v>1954.0820000000001</v>
      </c>
      <c r="G480" s="20">
        <v>19000</v>
      </c>
      <c r="H480" s="27">
        <v>19</v>
      </c>
      <c r="I480" s="20">
        <v>88.087000000000003</v>
      </c>
      <c r="J480" s="11" t="s">
        <v>170</v>
      </c>
      <c r="K480" s="11" t="s">
        <v>170</v>
      </c>
      <c r="L480" s="11"/>
      <c r="M480" s="18">
        <f t="shared" si="7"/>
        <v>26547.655999999999</v>
      </c>
    </row>
    <row r="481" spans="1:13">
      <c r="A481" s="25" t="s">
        <v>149</v>
      </c>
      <c r="B481" s="25">
        <v>1</v>
      </c>
      <c r="C481" s="25">
        <v>0</v>
      </c>
      <c r="D481" s="20">
        <v>21658.295999999998</v>
      </c>
      <c r="E481" s="20">
        <v>867.41</v>
      </c>
      <c r="F481" s="20">
        <v>1790.886</v>
      </c>
      <c r="G481" s="20">
        <v>19000</v>
      </c>
      <c r="H481" s="27">
        <v>19</v>
      </c>
      <c r="I481" s="20">
        <v>107.107</v>
      </c>
      <c r="J481" s="11" t="s">
        <v>170</v>
      </c>
      <c r="K481" s="11" t="s">
        <v>170</v>
      </c>
      <c r="L481" s="11"/>
      <c r="M481" s="18">
        <f t="shared" si="7"/>
        <v>21658.295999999998</v>
      </c>
    </row>
    <row r="482" spans="1:13">
      <c r="A482" s="25" t="s">
        <v>149</v>
      </c>
      <c r="B482" s="25">
        <v>2</v>
      </c>
      <c r="C482" s="25">
        <v>1</v>
      </c>
      <c r="D482" s="20">
        <v>28639.960999999999</v>
      </c>
      <c r="E482" s="20">
        <v>766.32</v>
      </c>
      <c r="F482" s="20">
        <v>1873.6420000000001</v>
      </c>
      <c r="G482" s="20">
        <v>26000</v>
      </c>
      <c r="H482" s="27">
        <v>26</v>
      </c>
      <c r="I482" s="20">
        <v>116.316</v>
      </c>
      <c r="J482" s="11" t="s">
        <v>170</v>
      </c>
      <c r="K482" s="11" t="s">
        <v>170</v>
      </c>
      <c r="L482" s="11"/>
      <c r="M482" s="18">
        <f t="shared" si="7"/>
        <v>28639.960999999999</v>
      </c>
    </row>
    <row r="483" spans="1:13">
      <c r="A483" s="25" t="s">
        <v>149</v>
      </c>
      <c r="B483" s="25">
        <v>3</v>
      </c>
      <c r="C483" s="25">
        <v>2</v>
      </c>
      <c r="D483" s="20">
        <v>25165.656999999999</v>
      </c>
      <c r="E483" s="20">
        <v>1289.9770000000001</v>
      </c>
      <c r="F483" s="20">
        <v>1875.68</v>
      </c>
      <c r="G483" s="20">
        <v>22000</v>
      </c>
      <c r="H483" s="27">
        <v>22</v>
      </c>
      <c r="I483" s="20">
        <v>98.894999999999996</v>
      </c>
      <c r="J483" s="11" t="s">
        <v>170</v>
      </c>
      <c r="K483" s="11" t="s">
        <v>170</v>
      </c>
      <c r="L483" s="11"/>
      <c r="M483" s="18">
        <f t="shared" si="7"/>
        <v>25165.656999999999</v>
      </c>
    </row>
    <row r="484" spans="1:13">
      <c r="A484" s="25" t="s">
        <v>149</v>
      </c>
      <c r="B484" s="25">
        <v>4</v>
      </c>
      <c r="C484" s="25">
        <v>3</v>
      </c>
      <c r="D484" s="20">
        <v>27690.062000000002</v>
      </c>
      <c r="E484" s="20">
        <v>942.67</v>
      </c>
      <c r="F484" s="20">
        <v>1747.3920000000001</v>
      </c>
      <c r="G484" s="20">
        <v>25000</v>
      </c>
      <c r="H484" s="27">
        <v>25</v>
      </c>
      <c r="I484" s="20">
        <v>98.835999999999999</v>
      </c>
      <c r="J484" s="11" t="s">
        <v>170</v>
      </c>
      <c r="K484" s="11" t="s">
        <v>170</v>
      </c>
      <c r="L484" s="11"/>
      <c r="M484" s="18">
        <f t="shared" si="7"/>
        <v>27690.062000000002</v>
      </c>
    </row>
    <row r="485" spans="1:13">
      <c r="A485" s="25" t="s">
        <v>149</v>
      </c>
      <c r="B485" s="25">
        <v>5</v>
      </c>
      <c r="C485" s="25">
        <v>4</v>
      </c>
      <c r="D485" s="20">
        <v>26703.898000000001</v>
      </c>
      <c r="E485" s="20">
        <v>894.65200000000004</v>
      </c>
      <c r="F485" s="20">
        <v>1809.2460000000001</v>
      </c>
      <c r="G485" s="20">
        <v>24000</v>
      </c>
      <c r="H485" s="27">
        <v>24</v>
      </c>
      <c r="I485" s="20">
        <v>101.17100000000001</v>
      </c>
      <c r="J485" s="11" t="s">
        <v>170</v>
      </c>
      <c r="K485" s="11" t="s">
        <v>170</v>
      </c>
      <c r="L485" s="11"/>
      <c r="M485" s="18">
        <f t="shared" si="7"/>
        <v>26703.898000000001</v>
      </c>
    </row>
    <row r="486" spans="1:13">
      <c r="A486" s="25" t="s">
        <v>150</v>
      </c>
      <c r="B486" s="25">
        <v>1</v>
      </c>
      <c r="C486" s="25">
        <v>0</v>
      </c>
      <c r="D486" s="20">
        <v>24575.518</v>
      </c>
      <c r="E486" s="20">
        <v>2751.002</v>
      </c>
      <c r="F486" s="20">
        <v>1824.5160000000001</v>
      </c>
      <c r="G486" s="20">
        <v>20000</v>
      </c>
      <c r="H486" s="27">
        <v>20</v>
      </c>
      <c r="I486" s="20">
        <v>101.59</v>
      </c>
      <c r="J486" s="11" t="s">
        <v>170</v>
      </c>
      <c r="K486" s="11" t="s">
        <v>170</v>
      </c>
      <c r="L486" s="11"/>
      <c r="M486" s="18">
        <f t="shared" si="7"/>
        <v>24575.518</v>
      </c>
    </row>
    <row r="487" spans="1:13">
      <c r="A487" s="25" t="s">
        <v>150</v>
      </c>
      <c r="B487" s="25">
        <v>2</v>
      </c>
      <c r="C487" s="25">
        <v>1</v>
      </c>
      <c r="D487" s="20">
        <v>21501.518</v>
      </c>
      <c r="E487" s="20">
        <v>2704.846</v>
      </c>
      <c r="F487" s="20">
        <v>1796.673</v>
      </c>
      <c r="G487" s="20">
        <v>17000</v>
      </c>
      <c r="H487" s="27">
        <v>17</v>
      </c>
      <c r="I487" s="20">
        <v>99.745999999999995</v>
      </c>
      <c r="J487" s="11" t="s">
        <v>170</v>
      </c>
      <c r="K487" s="11" t="s">
        <v>170</v>
      </c>
      <c r="L487" s="11"/>
      <c r="M487" s="18">
        <f t="shared" si="7"/>
        <v>21501.518</v>
      </c>
    </row>
    <row r="488" spans="1:13">
      <c r="A488" s="25" t="s">
        <v>150</v>
      </c>
      <c r="B488" s="25">
        <v>3</v>
      </c>
      <c r="C488" s="25">
        <v>2</v>
      </c>
      <c r="D488" s="20">
        <v>26874.437999999998</v>
      </c>
      <c r="E488" s="20">
        <v>2116.0990000000002</v>
      </c>
      <c r="F488" s="20">
        <v>1758.3389999999999</v>
      </c>
      <c r="G488" s="20">
        <v>23000</v>
      </c>
      <c r="H488" s="27">
        <v>23</v>
      </c>
      <c r="I488" s="20">
        <v>99.141999999999996</v>
      </c>
      <c r="J488" s="11" t="s">
        <v>170</v>
      </c>
      <c r="K488" s="11" t="s">
        <v>170</v>
      </c>
      <c r="L488" s="11"/>
      <c r="M488" s="18">
        <f t="shared" si="7"/>
        <v>26874.437999999998</v>
      </c>
    </row>
    <row r="489" spans="1:13">
      <c r="A489" s="25" t="s">
        <v>150</v>
      </c>
      <c r="B489" s="25">
        <v>4</v>
      </c>
      <c r="C489" s="25">
        <v>3</v>
      </c>
      <c r="D489" s="20">
        <v>20822.261999999999</v>
      </c>
      <c r="E489" s="20">
        <v>2044.8330000000001</v>
      </c>
      <c r="F489" s="20">
        <v>1777.4290000000001</v>
      </c>
      <c r="G489" s="20">
        <v>17000</v>
      </c>
      <c r="H489" s="27">
        <v>17</v>
      </c>
      <c r="I489" s="20">
        <v>103.43899999999999</v>
      </c>
      <c r="J489" s="11" t="s">
        <v>170</v>
      </c>
      <c r="K489" s="11" t="s">
        <v>170</v>
      </c>
      <c r="L489" s="11"/>
      <c r="M489" s="18">
        <f t="shared" si="7"/>
        <v>20822.261999999999</v>
      </c>
    </row>
    <row r="490" spans="1:13">
      <c r="A490" s="25" t="s">
        <v>150</v>
      </c>
      <c r="B490" s="25">
        <v>5</v>
      </c>
      <c r="C490" s="25">
        <v>4</v>
      </c>
      <c r="D490" s="20">
        <v>32198.637999999999</v>
      </c>
      <c r="E490" s="20">
        <v>2376.9409999999998</v>
      </c>
      <c r="F490" s="20">
        <v>1821.6969999999999</v>
      </c>
      <c r="G490" s="20">
        <v>28000</v>
      </c>
      <c r="H490" s="27">
        <v>28</v>
      </c>
      <c r="I490" s="20">
        <v>105.843</v>
      </c>
      <c r="J490" s="11" t="s">
        <v>170</v>
      </c>
      <c r="K490" s="11" t="s">
        <v>170</v>
      </c>
      <c r="L490" s="11"/>
      <c r="M490" s="18">
        <f t="shared" si="7"/>
        <v>32198.637999999999</v>
      </c>
    </row>
    <row r="491" spans="1:13">
      <c r="A491" s="25" t="s">
        <v>151</v>
      </c>
      <c r="B491" s="25">
        <v>1</v>
      </c>
      <c r="C491" s="25">
        <v>0</v>
      </c>
      <c r="D491" s="20">
        <v>28647.402999999998</v>
      </c>
      <c r="E491" s="20">
        <v>3793.16</v>
      </c>
      <c r="F491" s="20">
        <v>1854.2429999999999</v>
      </c>
      <c r="G491" s="20">
        <v>23000</v>
      </c>
      <c r="H491" s="27">
        <v>23</v>
      </c>
      <c r="I491" s="20">
        <v>103.28</v>
      </c>
      <c r="J491" s="11" t="s">
        <v>170</v>
      </c>
      <c r="K491" s="11" t="s">
        <v>170</v>
      </c>
      <c r="L491" s="11"/>
      <c r="M491" s="18">
        <f t="shared" si="7"/>
        <v>28647.402999999998</v>
      </c>
    </row>
    <row r="492" spans="1:13">
      <c r="A492" s="25" t="s">
        <v>151</v>
      </c>
      <c r="B492" s="25">
        <v>2</v>
      </c>
      <c r="C492" s="25">
        <v>1</v>
      </c>
      <c r="D492" s="20">
        <v>18673.334999999999</v>
      </c>
      <c r="E492" s="20">
        <v>3877.29</v>
      </c>
      <c r="F492" s="20">
        <v>1796.0450000000001</v>
      </c>
      <c r="G492" s="20">
        <v>13000</v>
      </c>
      <c r="H492" s="27">
        <v>13</v>
      </c>
      <c r="I492" s="20">
        <v>107.318</v>
      </c>
      <c r="J492" s="11" t="s">
        <v>170</v>
      </c>
      <c r="K492" s="11" t="s">
        <v>170</v>
      </c>
      <c r="L492" s="11"/>
      <c r="M492" s="18">
        <f t="shared" si="7"/>
        <v>18673.334999999999</v>
      </c>
    </row>
    <row r="493" spans="1:13">
      <c r="A493" s="25" t="s">
        <v>151</v>
      </c>
      <c r="B493" s="25">
        <v>3</v>
      </c>
      <c r="C493" s="25">
        <v>2</v>
      </c>
      <c r="D493" s="20">
        <v>28022.317999999999</v>
      </c>
      <c r="E493" s="20">
        <v>4164.7129999999997</v>
      </c>
      <c r="F493" s="20">
        <v>1857.606</v>
      </c>
      <c r="G493" s="20">
        <v>22000</v>
      </c>
      <c r="H493" s="27">
        <v>22</v>
      </c>
      <c r="I493" s="20">
        <v>104.843</v>
      </c>
      <c r="J493" s="11" t="s">
        <v>170</v>
      </c>
      <c r="K493" s="11" t="s">
        <v>170</v>
      </c>
      <c r="L493" s="11"/>
      <c r="M493" s="18">
        <f t="shared" si="7"/>
        <v>28022.317999999999</v>
      </c>
    </row>
    <row r="494" spans="1:13">
      <c r="A494" s="25" t="s">
        <v>151</v>
      </c>
      <c r="B494" s="25">
        <v>4</v>
      </c>
      <c r="C494" s="25">
        <v>3</v>
      </c>
      <c r="D494" s="20">
        <v>25534.713</v>
      </c>
      <c r="E494" s="20">
        <v>4640.848</v>
      </c>
      <c r="F494" s="20">
        <v>1893.864</v>
      </c>
      <c r="G494" s="20">
        <v>19000</v>
      </c>
      <c r="H494" s="27">
        <v>19</v>
      </c>
      <c r="I494" s="20">
        <v>99.367000000000004</v>
      </c>
      <c r="J494" s="11" t="s">
        <v>170</v>
      </c>
      <c r="K494" s="11" t="s">
        <v>170</v>
      </c>
      <c r="L494" s="11"/>
      <c r="M494" s="18">
        <f t="shared" si="7"/>
        <v>25534.713</v>
      </c>
    </row>
    <row r="495" spans="1:13">
      <c r="A495" s="25" t="s">
        <v>151</v>
      </c>
      <c r="B495" s="25">
        <v>5</v>
      </c>
      <c r="C495" s="25">
        <v>4</v>
      </c>
      <c r="D495" s="20">
        <v>21636.313999999998</v>
      </c>
      <c r="E495" s="20">
        <v>3792.1469999999999</v>
      </c>
      <c r="F495" s="20">
        <v>1844.1669999999999</v>
      </c>
      <c r="G495" s="20">
        <v>16000</v>
      </c>
      <c r="H495" s="27">
        <v>16</v>
      </c>
      <c r="I495" s="20">
        <v>106.035</v>
      </c>
      <c r="J495" s="11" t="s">
        <v>170</v>
      </c>
      <c r="K495" s="11" t="s">
        <v>170</v>
      </c>
      <c r="L495" s="11"/>
      <c r="M495" s="18">
        <f t="shared" si="7"/>
        <v>21636.313999999998</v>
      </c>
    </row>
    <row r="496" spans="1:13">
      <c r="A496" s="25" t="s">
        <v>152</v>
      </c>
      <c r="B496" s="25">
        <v>1</v>
      </c>
      <c r="C496" s="25">
        <v>0</v>
      </c>
      <c r="D496" s="20">
        <v>25517.046999999999</v>
      </c>
      <c r="E496" s="20">
        <v>4744.4740000000002</v>
      </c>
      <c r="F496" s="20">
        <v>1772.5730000000001</v>
      </c>
      <c r="G496" s="20">
        <v>19000</v>
      </c>
      <c r="H496" s="27">
        <v>19</v>
      </c>
      <c r="I496" s="20">
        <v>102.03400000000001</v>
      </c>
      <c r="J496" s="11" t="s">
        <v>170</v>
      </c>
      <c r="K496" s="11" t="s">
        <v>170</v>
      </c>
      <c r="L496" s="11"/>
      <c r="M496" s="18">
        <f t="shared" si="7"/>
        <v>25517.046999999999</v>
      </c>
    </row>
    <row r="497" spans="1:13">
      <c r="A497" s="25" t="s">
        <v>152</v>
      </c>
      <c r="B497" s="25">
        <v>2</v>
      </c>
      <c r="C497" s="25">
        <v>1</v>
      </c>
      <c r="D497" s="20">
        <v>23235.895</v>
      </c>
      <c r="E497" s="20">
        <v>5343.0389999999998</v>
      </c>
      <c r="F497" s="20">
        <v>1892.857</v>
      </c>
      <c r="G497" s="20">
        <v>16000</v>
      </c>
      <c r="H497" s="27">
        <v>16</v>
      </c>
      <c r="I497" s="20">
        <v>102.383</v>
      </c>
      <c r="J497" s="11" t="s">
        <v>170</v>
      </c>
      <c r="K497" s="11" t="s">
        <v>170</v>
      </c>
      <c r="L497" s="11"/>
      <c r="M497" s="18">
        <f t="shared" si="7"/>
        <v>23235.895</v>
      </c>
    </row>
    <row r="498" spans="1:13">
      <c r="A498" s="25" t="s">
        <v>152</v>
      </c>
      <c r="B498" s="25">
        <v>3</v>
      </c>
      <c r="C498" s="25">
        <v>2</v>
      </c>
      <c r="D498" s="20">
        <v>16974.821</v>
      </c>
      <c r="E498" s="20">
        <v>5144.1589999999997</v>
      </c>
      <c r="F498" s="20">
        <v>1830.6610000000001</v>
      </c>
      <c r="G498" s="20">
        <v>10000</v>
      </c>
      <c r="H498" s="27">
        <v>10</v>
      </c>
      <c r="I498" s="20">
        <v>99.680999999999997</v>
      </c>
      <c r="J498" s="11" t="s">
        <v>170</v>
      </c>
      <c r="K498" s="11" t="s">
        <v>170</v>
      </c>
      <c r="L498" s="11"/>
      <c r="M498" s="18">
        <f t="shared" si="7"/>
        <v>16974.821</v>
      </c>
    </row>
    <row r="499" spans="1:13">
      <c r="A499" s="25" t="s">
        <v>152</v>
      </c>
      <c r="B499" s="25">
        <v>4</v>
      </c>
      <c r="C499" s="25">
        <v>3</v>
      </c>
      <c r="D499" s="20">
        <v>22315.313999999998</v>
      </c>
      <c r="E499" s="20">
        <v>4567.451</v>
      </c>
      <c r="F499" s="20">
        <v>1747.8630000000001</v>
      </c>
      <c r="G499" s="20">
        <v>16000</v>
      </c>
      <c r="H499" s="27">
        <v>16</v>
      </c>
      <c r="I499" s="20">
        <v>99.799000000000007</v>
      </c>
      <c r="J499" s="11" t="s">
        <v>170</v>
      </c>
      <c r="K499" s="11" t="s">
        <v>170</v>
      </c>
      <c r="L499" s="11"/>
      <c r="M499" s="18">
        <f t="shared" si="7"/>
        <v>22315.313999999998</v>
      </c>
    </row>
    <row r="500" spans="1:13">
      <c r="A500" s="25" t="s">
        <v>152</v>
      </c>
      <c r="B500" s="25">
        <v>5</v>
      </c>
      <c r="C500" s="25">
        <v>4</v>
      </c>
      <c r="D500" s="20">
        <v>33122.597000000002</v>
      </c>
      <c r="E500" s="20">
        <v>5360.8760000000002</v>
      </c>
      <c r="F500" s="20">
        <v>1761.721</v>
      </c>
      <c r="G500" s="20">
        <v>26000</v>
      </c>
      <c r="H500" s="27">
        <v>26</v>
      </c>
      <c r="I500" s="20">
        <v>99.007000000000005</v>
      </c>
      <c r="J500" s="11" t="s">
        <v>170</v>
      </c>
      <c r="K500" s="11" t="s">
        <v>170</v>
      </c>
      <c r="L500" s="11"/>
      <c r="M500" s="18">
        <f t="shared" si="7"/>
        <v>33122.597000000002</v>
      </c>
    </row>
    <row r="501" spans="1:13">
      <c r="A501" s="25" t="s">
        <v>153</v>
      </c>
      <c r="B501" s="25">
        <v>1</v>
      </c>
      <c r="C501" s="25">
        <v>0</v>
      </c>
      <c r="D501" s="20">
        <v>17423.825000000001</v>
      </c>
      <c r="E501" s="20">
        <v>5624.9979999999996</v>
      </c>
      <c r="F501" s="20">
        <v>1798.827</v>
      </c>
      <c r="G501" s="20">
        <v>10000</v>
      </c>
      <c r="H501" s="27">
        <v>10</v>
      </c>
      <c r="I501" s="20">
        <v>85.495999999999995</v>
      </c>
      <c r="J501" s="11" t="s">
        <v>170</v>
      </c>
      <c r="K501" s="11" t="s">
        <v>170</v>
      </c>
      <c r="L501" s="11"/>
      <c r="M501" s="18">
        <f t="shared" si="7"/>
        <v>17423.825000000001</v>
      </c>
    </row>
    <row r="502" spans="1:13">
      <c r="A502" s="25" t="s">
        <v>153</v>
      </c>
      <c r="B502" s="25">
        <v>2</v>
      </c>
      <c r="C502" s="25">
        <v>1</v>
      </c>
      <c r="D502" s="20">
        <v>20122.82</v>
      </c>
      <c r="E502" s="20">
        <v>6310.1570000000002</v>
      </c>
      <c r="F502" s="20">
        <v>1812.663</v>
      </c>
      <c r="G502" s="20">
        <v>12000</v>
      </c>
      <c r="H502" s="27">
        <v>12</v>
      </c>
      <c r="I502" s="20">
        <v>94.954999999999998</v>
      </c>
      <c r="J502" s="11" t="s">
        <v>170</v>
      </c>
      <c r="K502" s="11" t="s">
        <v>170</v>
      </c>
      <c r="L502" s="11"/>
      <c r="M502" s="18">
        <f t="shared" si="7"/>
        <v>20122.82</v>
      </c>
    </row>
    <row r="503" spans="1:13">
      <c r="A503" s="25" t="s">
        <v>153</v>
      </c>
      <c r="B503" s="25">
        <v>3</v>
      </c>
      <c r="C503" s="25">
        <v>2</v>
      </c>
      <c r="D503" s="20">
        <v>30338.788</v>
      </c>
      <c r="E503" s="20">
        <v>6540.6369999999997</v>
      </c>
      <c r="F503" s="20">
        <v>1798.1510000000001</v>
      </c>
      <c r="G503" s="20">
        <v>22000</v>
      </c>
      <c r="H503" s="27">
        <v>22</v>
      </c>
      <c r="I503" s="20">
        <v>92.484999999999999</v>
      </c>
      <c r="J503" s="11" t="s">
        <v>170</v>
      </c>
      <c r="K503" s="11" t="s">
        <v>170</v>
      </c>
      <c r="L503" s="11"/>
      <c r="M503" s="18">
        <f t="shared" si="7"/>
        <v>30338.788</v>
      </c>
    </row>
    <row r="504" spans="1:13">
      <c r="A504" s="25" t="s">
        <v>153</v>
      </c>
      <c r="B504" s="25">
        <v>4</v>
      </c>
      <c r="C504" s="25">
        <v>3</v>
      </c>
      <c r="D504" s="20">
        <v>27340.224999999999</v>
      </c>
      <c r="E504" s="20">
        <v>5583.3720000000003</v>
      </c>
      <c r="F504" s="20">
        <v>1756.854</v>
      </c>
      <c r="G504" s="20">
        <v>20000</v>
      </c>
      <c r="H504" s="27">
        <v>20</v>
      </c>
      <c r="I504" s="20">
        <v>89.480999999999995</v>
      </c>
      <c r="J504" s="11" t="s">
        <v>170</v>
      </c>
      <c r="K504" s="11" t="s">
        <v>170</v>
      </c>
      <c r="L504" s="11"/>
      <c r="M504" s="18">
        <f t="shared" si="7"/>
        <v>27340.224999999999</v>
      </c>
    </row>
    <row r="505" spans="1:13">
      <c r="A505" s="26" t="s">
        <v>153</v>
      </c>
      <c r="B505" s="26">
        <v>5</v>
      </c>
      <c r="C505" s="26">
        <v>4</v>
      </c>
      <c r="D505" s="21">
        <v>21589.845000000001</v>
      </c>
      <c r="E505" s="21">
        <v>5793.5860000000002</v>
      </c>
      <c r="F505" s="21">
        <v>1796.259</v>
      </c>
      <c r="G505" s="21">
        <v>14000</v>
      </c>
      <c r="H505" s="28">
        <v>14</v>
      </c>
      <c r="I505" s="21">
        <v>89.102999999999994</v>
      </c>
      <c r="J505" s="11" t="s">
        <v>170</v>
      </c>
      <c r="K505" s="11" t="s">
        <v>170</v>
      </c>
      <c r="L505" s="14"/>
      <c r="M505" s="19">
        <f t="shared" si="7"/>
        <v>21589.845000000001</v>
      </c>
    </row>
  </sheetData>
  <dataValidations count="1">
    <dataValidation type="list" sqref="J6:K505" xr:uid="{00000000-0002-0000-01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GA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Sadra Bahojb</dc:creator>
  <cp:lastModifiedBy>Sadra Bahojb</cp:lastModifiedBy>
  <dcterms:modified xsi:type="dcterms:W3CDTF">2026-10-17T19:52:26Z</dcterms:modified>
</cp:coreProperties>
</file>