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dra\Downloads\PythonCodes-HHC\"/>
    </mc:Choice>
  </mc:AlternateContent>
  <xr:revisionPtr revIDLastSave="0" documentId="13_ncr:1_{D7F30633-0238-41D5-8C15-63ACDB8ACCBB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Delta" sheetId="1" r:id="rId1"/>
    <sheet name="Synchron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2" l="1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T15" i="2"/>
  <c r="S15" i="2"/>
  <c r="R15" i="2"/>
  <c r="Q15" i="2"/>
  <c r="P15" i="2"/>
  <c r="O15" i="2"/>
  <c r="N15" i="2"/>
  <c r="L15" i="2"/>
  <c r="A15" i="2"/>
  <c r="T14" i="2"/>
  <c r="S14" i="2"/>
  <c r="R14" i="2"/>
  <c r="Q14" i="2"/>
  <c r="P14" i="2"/>
  <c r="O14" i="2"/>
  <c r="N14" i="2"/>
  <c r="L14" i="2"/>
  <c r="A14" i="2"/>
  <c r="T13" i="2"/>
  <c r="S13" i="2"/>
  <c r="R13" i="2"/>
  <c r="Q13" i="2"/>
  <c r="P13" i="2"/>
  <c r="O13" i="2"/>
  <c r="N13" i="2"/>
  <c r="L13" i="2"/>
  <c r="T12" i="2"/>
  <c r="S12" i="2"/>
  <c r="R12" i="2"/>
  <c r="Q12" i="2"/>
  <c r="P12" i="2"/>
  <c r="O12" i="2"/>
  <c r="N12" i="2"/>
  <c r="L12" i="2"/>
  <c r="T11" i="2"/>
  <c r="S11" i="2"/>
  <c r="R11" i="2"/>
  <c r="Q11" i="2"/>
  <c r="P11" i="2"/>
  <c r="O11" i="2"/>
  <c r="N11" i="2"/>
  <c r="L11" i="2"/>
  <c r="T10" i="2"/>
  <c r="S10" i="2"/>
  <c r="R10" i="2"/>
  <c r="Q10" i="2"/>
  <c r="P10" i="2"/>
  <c r="O10" i="2"/>
  <c r="N10" i="2"/>
  <c r="L10" i="2"/>
  <c r="T9" i="2"/>
  <c r="S9" i="2"/>
  <c r="R9" i="2"/>
  <c r="Q9" i="2"/>
  <c r="P9" i="2"/>
  <c r="O9" i="2"/>
  <c r="N9" i="2"/>
  <c r="L9" i="2"/>
  <c r="T8" i="2"/>
  <c r="S8" i="2"/>
  <c r="R8" i="2"/>
  <c r="Q8" i="2"/>
  <c r="P8" i="2"/>
  <c r="O8" i="2"/>
  <c r="N8" i="2"/>
  <c r="L8" i="2"/>
  <c r="T7" i="2"/>
  <c r="S7" i="2"/>
  <c r="R7" i="2"/>
  <c r="Q7" i="2"/>
  <c r="P7" i="2"/>
  <c r="O7" i="2"/>
  <c r="N7" i="2"/>
  <c r="L7" i="2"/>
  <c r="T6" i="2"/>
  <c r="S6" i="2"/>
  <c r="R6" i="2"/>
  <c r="Q6" i="2"/>
  <c r="P6" i="2"/>
  <c r="O6" i="2"/>
  <c r="N6" i="2"/>
  <c r="L6" i="2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R10" i="1"/>
  <c r="Q10" i="1"/>
  <c r="P10" i="1"/>
  <c r="O10" i="1"/>
  <c r="N10" i="1"/>
  <c r="M10" i="1"/>
  <c r="L10" i="1"/>
  <c r="K10" i="1"/>
  <c r="R9" i="1"/>
  <c r="Q9" i="1"/>
  <c r="P9" i="1"/>
  <c r="O9" i="1"/>
  <c r="N9" i="1"/>
  <c r="M9" i="1"/>
  <c r="L9" i="1"/>
  <c r="K9" i="1"/>
  <c r="R8" i="1"/>
  <c r="Q8" i="1"/>
  <c r="P8" i="1"/>
  <c r="O8" i="1"/>
  <c r="N8" i="1"/>
  <c r="M8" i="1"/>
  <c r="L8" i="1"/>
  <c r="K8" i="1"/>
  <c r="R7" i="1"/>
  <c r="Q7" i="1"/>
  <c r="P7" i="1"/>
  <c r="O7" i="1"/>
  <c r="N7" i="1"/>
  <c r="M7" i="1"/>
  <c r="L7" i="1"/>
  <c r="K7" i="1"/>
  <c r="R6" i="1"/>
  <c r="Q6" i="1"/>
  <c r="P6" i="1"/>
  <c r="O6" i="1"/>
  <c r="N6" i="1"/>
  <c r="M6" i="1"/>
  <c r="L6" i="1"/>
  <c r="K6" i="1"/>
</calcChain>
</file>

<file path=xl/sharedStrings.xml><?xml version="1.0" encoding="utf-8"?>
<sst xmlns="http://schemas.openxmlformats.org/spreadsheetml/2006/main" count="189" uniqueCount="33">
  <si>
    <t>Update interval sensitivity analysis</t>
  </si>
  <si>
    <t>Setting: 60 patients, 50% dynamic requests, five fixed instance seeds</t>
  </si>
  <si>
    <t>Parameter level</t>
  </si>
  <si>
    <t>Minutes</t>
  </si>
  <si>
    <t>Update interval</t>
  </si>
  <si>
    <t>Mean ZT</t>
  </si>
  <si>
    <t>SD ZT</t>
  </si>
  <si>
    <t>Mean Zd</t>
  </si>
  <si>
    <t>Mean Zt</t>
  </si>
  <si>
    <t>Mean Zu</t>
  </si>
  <si>
    <t>Mean runtime (s)</t>
  </si>
  <si>
    <t>Feasible runs</t>
  </si>
  <si>
    <t>Level 1</t>
  </si>
  <si>
    <t>Level 2</t>
  </si>
  <si>
    <t>Level 3</t>
  </si>
  <si>
    <t>Level 4</t>
  </si>
  <si>
    <t>Level 5</t>
  </si>
  <si>
    <t>Seed ID</t>
  </si>
  <si>
    <t>Total objective (ZT)</t>
  </si>
  <si>
    <t>Delay (Zd)</t>
  </si>
  <si>
    <t>Travel (Zt)</t>
  </si>
  <si>
    <t>Uncovered penalty (Zu)</t>
  </si>
  <si>
    <t>Runtime (s)</t>
  </si>
  <si>
    <t>Feasible</t>
  </si>
  <si>
    <t>Notes</t>
  </si>
  <si>
    <t>Synchronization ratio sensitivity analysis</t>
  </si>
  <si>
    <t>Setting: 60 patients, 50% dynamic requests, five fixed instance seeds; GA entries use the best of five runs</t>
  </si>
  <si>
    <t>Ratio</t>
  </si>
  <si>
    <t>Synchronization ratio</t>
  </si>
  <si>
    <t>Method</t>
  </si>
  <si>
    <t>GA</t>
  </si>
  <si>
    <t>RH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</si>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</sst>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rlito"/>
    </font>
    <font>
      <b/>
      <sz val="14"/>
      <color rgb="FF1F2937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0"/>
      <color rgb="FF1F2937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F2F8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8C6D1"/>
      </bottom>
      <diagonal/>
    </border>
    <border>
      <left style="thin">
        <color rgb="FFB8C6D1"/>
      </left>
      <right/>
      <top style="thin">
        <color rgb="FFB8C6D1"/>
      </top>
      <bottom/>
      <diagonal/>
    </border>
    <border>
      <left/>
      <right style="thin">
        <color rgb="FFB8C6D1"/>
      </right>
      <top style="thin">
        <color rgb="FFB8C6D1"/>
      </top>
      <bottom/>
      <diagonal/>
    </border>
    <border>
      <left style="thin">
        <color rgb="FFB8C6D1"/>
      </left>
      <right/>
      <top/>
      <bottom/>
      <diagonal/>
    </border>
    <border>
      <left/>
      <right style="thin">
        <color rgb="FFB8C6D1"/>
      </right>
      <top/>
      <bottom/>
      <diagonal/>
    </border>
    <border>
      <left style="thin">
        <color rgb="FFB8C6D1"/>
      </left>
      <right/>
      <top/>
      <bottom style="thin">
        <color rgb="FFB8C6D1"/>
      </bottom>
      <diagonal/>
    </border>
    <border>
      <left/>
      <right style="thin">
        <color rgb="FFB8C6D1"/>
      </right>
      <top/>
      <bottom style="thin">
        <color rgb="FFB8C6D1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B8C6D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164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" fontId="4" fillId="4" borderId="10" xfId="0" applyNumberFormat="1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4" xfId="0" applyFont="1" applyBorder="1" applyAlignment="1">
      <alignment vertical="center"/>
    </xf>
    <xf numFmtId="1" fontId="4" fillId="3" borderId="5" xfId="0" applyNumberFormat="1" applyFont="1" applyFill="1" applyBorder="1" applyAlignment="1">
      <alignment vertical="center"/>
    </xf>
    <xf numFmtId="1" fontId="4" fillId="5" borderId="9" xfId="0" applyNumberFormat="1" applyFont="1" applyFill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1" fontId="4" fillId="0" borderId="9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" fontId="4" fillId="3" borderId="7" xfId="0" applyNumberFormat="1" applyFont="1" applyFill="1" applyBorder="1" applyAlignment="1">
      <alignment vertical="center"/>
    </xf>
    <xf numFmtId="1" fontId="4" fillId="5" borderId="10" xfId="0" applyNumberFormat="1" applyFont="1" applyFill="1" applyBorder="1" applyAlignment="1">
      <alignment vertical="center"/>
    </xf>
    <xf numFmtId="164" fontId="4" fillId="0" borderId="10" xfId="0" applyNumberFormat="1" applyFont="1" applyBorder="1" applyAlignment="1">
      <alignment vertical="center"/>
    </xf>
    <xf numFmtId="1" fontId="4" fillId="0" borderId="10" xfId="0" applyNumberFormat="1" applyFont="1" applyBorder="1" applyAlignment="1">
      <alignment vertical="center"/>
    </xf>
    <xf numFmtId="9" fontId="4" fillId="3" borderId="5" xfId="0" applyNumberFormat="1" applyFont="1" applyFill="1" applyBorder="1" applyAlignment="1">
      <alignment vertical="center"/>
    </xf>
    <xf numFmtId="9" fontId="4" fillId="5" borderId="9" xfId="0" applyNumberFormat="1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9" fontId="4" fillId="3" borderId="7" xfId="0" applyNumberFormat="1" applyFont="1" applyFill="1" applyBorder="1" applyAlignment="1">
      <alignment vertical="center"/>
    </xf>
    <xf numFmtId="9" fontId="4" fillId="4" borderId="9" xfId="0" applyNumberFormat="1" applyFont="1" applyFill="1" applyBorder="1" applyAlignment="1">
      <alignment vertical="center"/>
    </xf>
    <xf numFmtId="9" fontId="4" fillId="5" borderId="10" xfId="0" applyNumberFormat="1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9" fontId="4" fillId="4" borderId="10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R38"/>
  <sheetViews>
    <sheetView showGridLines="0" topLeftCell="A12" workbookViewId="0">
      <selection activeCell="C29" sqref="C29:H33"/>
    </sheetView>
  </sheetViews>
  <sheetFormatPr defaultRowHeight="13.8"/>
  <cols>
    <col min="1" max="1" width="19" customWidth="1"/>
    <col min="2" max="2" width="11" customWidth="1"/>
    <col min="3" max="6" width="18" customWidth="1"/>
    <col min="7" max="7" width="14" customWidth="1"/>
    <col min="8" max="8" width="11" customWidth="1"/>
    <col min="9" max="9" width="24" customWidth="1"/>
    <col min="10" max="10" width="3" customWidth="1"/>
    <col min="11" max="11" width="17" customWidth="1"/>
    <col min="12" max="18" width="16" customWidth="1"/>
  </cols>
  <sheetData>
    <row r="2" spans="1:18" ht="24" customHeight="1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12"/>
      <c r="K2" s="12"/>
      <c r="L2" s="12"/>
      <c r="M2" s="12"/>
      <c r="N2" s="12"/>
      <c r="O2" s="12"/>
      <c r="P2" s="12"/>
      <c r="Q2" s="12"/>
      <c r="R2" s="12"/>
    </row>
    <row r="3" spans="1:18">
      <c r="A3" s="34" t="s">
        <v>1</v>
      </c>
      <c r="B3" s="33"/>
      <c r="C3" s="33"/>
      <c r="D3" s="33"/>
      <c r="E3" s="33"/>
      <c r="F3" s="33"/>
      <c r="G3" s="33"/>
      <c r="H3" s="33"/>
      <c r="I3" s="33"/>
      <c r="J3" s="12"/>
      <c r="K3" s="12"/>
      <c r="L3" s="12"/>
      <c r="M3" s="12"/>
      <c r="N3" s="12"/>
      <c r="O3" s="12"/>
      <c r="P3" s="12"/>
      <c r="Q3" s="12"/>
      <c r="R3" s="12"/>
    </row>
    <row r="4" spans="1:18">
      <c r="A4" s="13"/>
      <c r="B4" s="13"/>
      <c r="C4" s="13"/>
      <c r="D4" s="13"/>
      <c r="E4" s="13"/>
      <c r="F4" s="13"/>
      <c r="G4" s="13"/>
      <c r="H4" s="13"/>
      <c r="I4" s="13"/>
      <c r="J4" s="12"/>
      <c r="K4" s="12"/>
      <c r="L4" s="12"/>
      <c r="M4" s="12"/>
      <c r="N4" s="12"/>
      <c r="O4" s="12"/>
      <c r="P4" s="12"/>
      <c r="Q4" s="12"/>
      <c r="R4" s="12"/>
    </row>
    <row r="5" spans="1:18">
      <c r="A5" s="1" t="s">
        <v>2</v>
      </c>
      <c r="B5" s="2" t="s">
        <v>3</v>
      </c>
      <c r="C5" s="12"/>
      <c r="D5" s="12"/>
      <c r="E5" s="12"/>
      <c r="F5" s="12"/>
      <c r="G5" s="12"/>
      <c r="H5" s="12"/>
      <c r="I5" s="12"/>
      <c r="J5" s="12"/>
      <c r="K5" s="3" t="s">
        <v>4</v>
      </c>
      <c r="L5" s="3" t="s">
        <v>5</v>
      </c>
      <c r="M5" s="3" t="s">
        <v>6</v>
      </c>
      <c r="N5" s="3" t="s">
        <v>7</v>
      </c>
      <c r="O5" s="3" t="s">
        <v>8</v>
      </c>
      <c r="P5" s="3" t="s">
        <v>9</v>
      </c>
      <c r="Q5" s="3" t="s">
        <v>10</v>
      </c>
      <c r="R5" s="3" t="s">
        <v>11</v>
      </c>
    </row>
    <row r="6" spans="1:18">
      <c r="A6" s="14" t="s">
        <v>12</v>
      </c>
      <c r="B6" s="15">
        <v>15</v>
      </c>
      <c r="C6" s="12"/>
      <c r="D6" s="12"/>
      <c r="E6" s="12"/>
      <c r="F6" s="12"/>
      <c r="G6" s="12"/>
      <c r="H6" s="12"/>
      <c r="I6" s="12"/>
      <c r="J6" s="12"/>
      <c r="K6" s="16">
        <f>$B$6</f>
        <v>15</v>
      </c>
      <c r="L6" s="17">
        <f>IF(COUNT(C14:C18)=0,"",AVERAGE(C14:C18))</f>
        <v>20404.966</v>
      </c>
      <c r="M6" s="17">
        <f>IF(COUNT(C14:C18)&lt;2,"",_xlfn.STDEV.S(C14:C18))</f>
        <v>6752.8740188589345</v>
      </c>
      <c r="N6" s="17">
        <f>IF(COUNT(D14:D18)=0,"",AVERAGE(D14:D18))</f>
        <v>1570.7159999999999</v>
      </c>
      <c r="O6" s="17">
        <f>IF(COUNT(E14:E18)=0,"",AVERAGE(E14:E18))</f>
        <v>1234.248</v>
      </c>
      <c r="P6" s="17">
        <f>IF(COUNT(F14:F18)=0,"",AVERAGE(F14:F18))</f>
        <v>17600</v>
      </c>
      <c r="Q6" s="17">
        <f>IF(COUNT(G14:G18)=0,"",AVERAGE(G14:G18))</f>
        <v>24.757999999999999</v>
      </c>
      <c r="R6" s="18">
        <f>IF(COUNTA(H14:H18)=0,"",COUNTIF(H14:H18,"Yes"))</f>
        <v>5</v>
      </c>
    </row>
    <row r="7" spans="1:18">
      <c r="A7" s="14" t="s">
        <v>13</v>
      </c>
      <c r="B7" s="15">
        <v>30</v>
      </c>
      <c r="C7" s="12"/>
      <c r="D7" s="12"/>
      <c r="E7" s="12"/>
      <c r="F7" s="12"/>
      <c r="G7" s="12"/>
      <c r="H7" s="12"/>
      <c r="I7" s="12"/>
      <c r="J7" s="12"/>
      <c r="K7" s="16">
        <f>$B$7</f>
        <v>30</v>
      </c>
      <c r="L7" s="17">
        <f>IF(COUNT(C19:C23)=0,"",AVERAGE(C19:C23))</f>
        <v>20624.864000000001</v>
      </c>
      <c r="M7" s="17">
        <f>IF(COUNT(C19:C23)&lt;2,"",_xlfn.STDEV.S(C19:C23))</f>
        <v>6623.1815089373677</v>
      </c>
      <c r="N7" s="17">
        <f>IF(COUNT(D19:D23)=0,"",AVERAGE(D19:D23))</f>
        <v>1792.6860000000001</v>
      </c>
      <c r="O7" s="17">
        <f>IF(COUNT(E19:E23)=0,"",AVERAGE(E19:E23))</f>
        <v>1232.1780000000001</v>
      </c>
      <c r="P7" s="17">
        <f>IF(COUNT(F19:F23)=0,"",AVERAGE(F19:F23))</f>
        <v>17600</v>
      </c>
      <c r="Q7" s="17">
        <f>IF(COUNT(G19:G23)=0,"",AVERAGE(G19:G23))</f>
        <v>16.434000000000001</v>
      </c>
      <c r="R7" s="18">
        <f>IF(COUNTA(H19:H23)=0,"",COUNTIF(H19:H23,"Yes"))</f>
        <v>5</v>
      </c>
    </row>
    <row r="8" spans="1:18">
      <c r="A8" s="14" t="s">
        <v>14</v>
      </c>
      <c r="B8" s="15">
        <v>45</v>
      </c>
      <c r="C8" s="12"/>
      <c r="D8" s="12"/>
      <c r="E8" s="12"/>
      <c r="F8" s="12"/>
      <c r="G8" s="12"/>
      <c r="H8" s="12"/>
      <c r="I8" s="12"/>
      <c r="J8" s="12"/>
      <c r="K8" s="16">
        <f>$B$8</f>
        <v>45</v>
      </c>
      <c r="L8" s="17">
        <f>IF(COUNT(C24:C28)=0,"",AVERAGE(C24:C28))</f>
        <v>20970.277999999998</v>
      </c>
      <c r="M8" s="17">
        <f>IF(COUNT(C24:C28)&lt;2,"",_xlfn.STDEV.S(C24:C28))</f>
        <v>6676.2885296899967</v>
      </c>
      <c r="N8" s="17">
        <f>IF(COUNT(D24:D28)=0,"",AVERAGE(D24:D28))</f>
        <v>1961.3059999999998</v>
      </c>
      <c r="O8" s="17">
        <f>IF(COUNT(E24:E28)=0,"",AVERAGE(E24:E28))</f>
        <v>1208.9739999999997</v>
      </c>
      <c r="P8" s="17">
        <f>IF(COUNT(F24:F28)=0,"",AVERAGE(F24:F28))</f>
        <v>17800</v>
      </c>
      <c r="Q8" s="17">
        <f>IF(COUNT(G24:G28)=0,"",AVERAGE(G24:G28))</f>
        <v>14.930000000000001</v>
      </c>
      <c r="R8" s="18">
        <f>IF(COUNTA(H24:H28)=0,"",COUNTIF(H24:H28,"Yes"))</f>
        <v>5</v>
      </c>
    </row>
    <row r="9" spans="1:18">
      <c r="A9" s="14" t="s">
        <v>15</v>
      </c>
      <c r="B9" s="15">
        <v>60</v>
      </c>
      <c r="C9" s="12"/>
      <c r="D9" s="12"/>
      <c r="E9" s="12"/>
      <c r="F9" s="12"/>
      <c r="G9" s="12"/>
      <c r="H9" s="12"/>
      <c r="I9" s="12"/>
      <c r="J9" s="12"/>
      <c r="K9" s="16">
        <f>$B$9</f>
        <v>60</v>
      </c>
      <c r="L9" s="17">
        <f>IF(COUNT(C29:C33)=0,"",AVERAGE(C29:C33))</f>
        <v>22905.283999999996</v>
      </c>
      <c r="M9" s="17">
        <f>IF(COUNT(C29:C33)&lt;2,"",_xlfn.STDEV.S(C29:C33))</f>
        <v>7340.0192619829204</v>
      </c>
      <c r="N9" s="17">
        <f>IF(COUNT(D29:D33)=0,"",AVERAGE(D29:D33))</f>
        <v>2269.9579999999996</v>
      </c>
      <c r="O9" s="17">
        <f>IF(COUNT(E29:E33)=0,"",AVERAGE(E29:E33))</f>
        <v>1235.3219999999999</v>
      </c>
      <c r="P9" s="17">
        <f>IF(COUNT(F29:F33)=0,"",AVERAGE(F29:F33))</f>
        <v>19400</v>
      </c>
      <c r="Q9" s="17">
        <f>IF(COUNT(G29:G33)=0,"",AVERAGE(G29:G33))</f>
        <v>13.862</v>
      </c>
      <c r="R9" s="18">
        <f>IF(COUNTA(H29:H33)=0,"",COUNTIF(H29:H33,"Yes"))</f>
        <v>5</v>
      </c>
    </row>
    <row r="10" spans="1:18">
      <c r="A10" s="19" t="s">
        <v>16</v>
      </c>
      <c r="B10" s="20">
        <v>90</v>
      </c>
      <c r="C10" s="12"/>
      <c r="D10" s="12"/>
      <c r="E10" s="12"/>
      <c r="F10" s="12"/>
      <c r="G10" s="12"/>
      <c r="H10" s="12"/>
      <c r="I10" s="12"/>
      <c r="J10" s="12"/>
      <c r="K10" s="21">
        <f>$B$10</f>
        <v>90</v>
      </c>
      <c r="L10" s="22">
        <f>IF(COUNT(C34:C38)=0,"",AVERAGE(C34:C38))</f>
        <v>27046.932000000001</v>
      </c>
      <c r="M10" s="22">
        <f>IF(COUNT(C34:C38)&lt;2,"",_xlfn.STDEV.S(C34:C38))</f>
        <v>7423.0755931028889</v>
      </c>
      <c r="N10" s="22">
        <f>IF(COUNT(D34:D38)=0,"",AVERAGE(D34:D38))</f>
        <v>2462.3780000000002</v>
      </c>
      <c r="O10" s="22">
        <f>IF(COUNT(E34:E38)=0,"",AVERAGE(E34:E38))</f>
        <v>1184.5500000000002</v>
      </c>
      <c r="P10" s="22">
        <f>IF(COUNT(F34:F38)=0,"",AVERAGE(F34:F38))</f>
        <v>23400</v>
      </c>
      <c r="Q10" s="22">
        <f>IF(COUNT(G34:G38)=0,"",AVERAGE(G34:G38))</f>
        <v>10.864000000000001</v>
      </c>
      <c r="R10" s="23">
        <f>IF(COUNTA(H34:H38)=0,"",COUNTIF(H34:H38,"Yes"))</f>
        <v>5</v>
      </c>
    </row>
    <row r="11" spans="1:18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30" customHeight="1">
      <c r="A13" s="3" t="s">
        <v>4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12"/>
      <c r="K13" s="12"/>
      <c r="L13" s="12"/>
      <c r="M13" s="12"/>
      <c r="N13" s="12"/>
      <c r="O13" s="12"/>
      <c r="P13" s="12"/>
      <c r="Q13" s="12"/>
      <c r="R13" s="12"/>
    </row>
    <row r="14" spans="1:18">
      <c r="A14" s="4">
        <f>$B$6</f>
        <v>15</v>
      </c>
      <c r="B14" s="5">
        <v>1</v>
      </c>
      <c r="C14" s="6">
        <v>20801</v>
      </c>
      <c r="D14" s="6">
        <v>1444.67</v>
      </c>
      <c r="E14" s="6">
        <v>1356.33</v>
      </c>
      <c r="F14" s="6">
        <v>18000</v>
      </c>
      <c r="G14" s="6">
        <v>40.47</v>
      </c>
      <c r="H14" s="7" t="s">
        <v>32</v>
      </c>
      <c r="I14" s="7"/>
      <c r="J14" s="12"/>
      <c r="K14" s="12"/>
      <c r="L14" s="12"/>
      <c r="M14" s="12"/>
      <c r="N14" s="12"/>
      <c r="O14" s="12"/>
      <c r="P14" s="12"/>
      <c r="Q14" s="12"/>
      <c r="R14" s="12"/>
    </row>
    <row r="15" spans="1:18">
      <c r="A15" s="4">
        <f>$B$6</f>
        <v>15</v>
      </c>
      <c r="B15" s="5">
        <v>2</v>
      </c>
      <c r="C15" s="6">
        <v>9834.98</v>
      </c>
      <c r="D15" s="6">
        <v>1541.44</v>
      </c>
      <c r="E15" s="6">
        <v>1293.53</v>
      </c>
      <c r="F15" s="6">
        <v>7000</v>
      </c>
      <c r="G15" s="6">
        <v>16.350000000000001</v>
      </c>
      <c r="H15" s="7" t="s">
        <v>32</v>
      </c>
      <c r="I15" s="7"/>
      <c r="J15" s="12"/>
      <c r="K15" s="12"/>
      <c r="L15" s="12"/>
      <c r="M15" s="12"/>
      <c r="N15" s="12"/>
      <c r="O15" s="12"/>
      <c r="P15" s="12"/>
      <c r="Q15" s="12"/>
      <c r="R15" s="12"/>
    </row>
    <row r="16" spans="1:18">
      <c r="A16" s="4">
        <f>$B$6</f>
        <v>15</v>
      </c>
      <c r="B16" s="5">
        <v>3</v>
      </c>
      <c r="C16" s="6">
        <v>28670.55</v>
      </c>
      <c r="D16" s="6">
        <v>1531.86</v>
      </c>
      <c r="E16" s="6">
        <v>1138.69</v>
      </c>
      <c r="F16" s="6">
        <v>26000</v>
      </c>
      <c r="G16" s="6">
        <v>22.46</v>
      </c>
      <c r="H16" s="7" t="s">
        <v>32</v>
      </c>
      <c r="I16" s="7"/>
      <c r="J16" s="12"/>
      <c r="K16" s="12"/>
      <c r="L16" s="12"/>
      <c r="M16" s="12"/>
      <c r="N16" s="12"/>
      <c r="O16" s="12"/>
      <c r="P16" s="12"/>
      <c r="Q16" s="12"/>
      <c r="R16" s="12"/>
    </row>
    <row r="17" spans="1:18">
      <c r="A17" s="4">
        <f>$B$6</f>
        <v>15</v>
      </c>
      <c r="B17" s="5">
        <v>4</v>
      </c>
      <c r="C17" s="6">
        <v>20921.560000000001</v>
      </c>
      <c r="D17" s="6">
        <v>1706.7</v>
      </c>
      <c r="E17" s="6">
        <v>1214.8599999999999</v>
      </c>
      <c r="F17" s="6">
        <v>18000</v>
      </c>
      <c r="G17" s="6">
        <v>25.91</v>
      </c>
      <c r="H17" s="7" t="s">
        <v>32</v>
      </c>
      <c r="I17" s="7"/>
      <c r="J17" s="12"/>
      <c r="K17" s="12"/>
      <c r="L17" s="12"/>
      <c r="M17" s="12"/>
      <c r="N17" s="12"/>
      <c r="O17" s="12"/>
      <c r="P17" s="12"/>
      <c r="Q17" s="12"/>
      <c r="R17" s="12"/>
    </row>
    <row r="18" spans="1:18">
      <c r="A18" s="4">
        <f>$B$6</f>
        <v>15</v>
      </c>
      <c r="B18" s="5">
        <v>5</v>
      </c>
      <c r="C18" s="6">
        <v>21796.74</v>
      </c>
      <c r="D18" s="6">
        <v>1628.91</v>
      </c>
      <c r="E18" s="6">
        <v>1167.83</v>
      </c>
      <c r="F18" s="6">
        <v>19000</v>
      </c>
      <c r="G18" s="6">
        <v>18.600000000000001</v>
      </c>
      <c r="H18" s="7" t="s">
        <v>32</v>
      </c>
      <c r="I18" s="7"/>
      <c r="J18" s="12"/>
      <c r="K18" s="12"/>
      <c r="L18" s="12"/>
      <c r="M18" s="12"/>
      <c r="N18" s="12"/>
      <c r="O18" s="12"/>
      <c r="P18" s="12"/>
      <c r="Q18" s="12"/>
      <c r="R18" s="12"/>
    </row>
    <row r="19" spans="1:18">
      <c r="A19" s="4">
        <f>$B$7</f>
        <v>30</v>
      </c>
      <c r="B19" s="5">
        <v>1</v>
      </c>
      <c r="C19" s="6">
        <v>20843.72</v>
      </c>
      <c r="D19" s="6">
        <v>1509.42</v>
      </c>
      <c r="E19" s="6">
        <v>1334.3</v>
      </c>
      <c r="F19" s="6">
        <v>18000</v>
      </c>
      <c r="G19" s="6">
        <v>24.41</v>
      </c>
      <c r="H19" s="7" t="s">
        <v>32</v>
      </c>
      <c r="I19" s="7"/>
      <c r="J19" s="12"/>
      <c r="K19" s="12"/>
      <c r="L19" s="12"/>
      <c r="M19" s="12"/>
      <c r="N19" s="12"/>
      <c r="O19" s="12"/>
      <c r="P19" s="12"/>
      <c r="Q19" s="12"/>
      <c r="R19" s="12"/>
    </row>
    <row r="20" spans="1:18">
      <c r="A20" s="4">
        <f>$B$7</f>
        <v>30</v>
      </c>
      <c r="B20" s="5">
        <v>2</v>
      </c>
      <c r="C20" s="6">
        <v>10282.34</v>
      </c>
      <c r="D20" s="6">
        <v>1990.79</v>
      </c>
      <c r="E20" s="6">
        <v>1291.55</v>
      </c>
      <c r="F20" s="6">
        <v>7000</v>
      </c>
      <c r="G20" s="6">
        <v>10.74</v>
      </c>
      <c r="H20" s="7" t="s">
        <v>32</v>
      </c>
      <c r="I20" s="7"/>
      <c r="J20" s="12"/>
      <c r="K20" s="12"/>
      <c r="L20" s="12"/>
      <c r="M20" s="12"/>
      <c r="N20" s="12"/>
      <c r="O20" s="12"/>
      <c r="P20" s="12"/>
      <c r="Q20" s="12"/>
      <c r="R20" s="12"/>
    </row>
    <row r="21" spans="1:18">
      <c r="A21" s="4">
        <f>$B$7</f>
        <v>30</v>
      </c>
      <c r="B21" s="5">
        <v>3</v>
      </c>
      <c r="C21" s="6">
        <v>28766.66</v>
      </c>
      <c r="D21" s="6">
        <v>1645.18</v>
      </c>
      <c r="E21" s="6">
        <v>1121.49</v>
      </c>
      <c r="F21" s="6">
        <v>26000</v>
      </c>
      <c r="G21" s="6">
        <v>15.79</v>
      </c>
      <c r="H21" s="7" t="s">
        <v>32</v>
      </c>
      <c r="I21" s="7"/>
      <c r="J21" s="12"/>
      <c r="K21" s="12"/>
      <c r="L21" s="12"/>
      <c r="M21" s="12"/>
      <c r="N21" s="12"/>
      <c r="O21" s="12"/>
      <c r="P21" s="12"/>
      <c r="Q21" s="12"/>
      <c r="R21" s="12"/>
    </row>
    <row r="22" spans="1:18">
      <c r="A22" s="4">
        <f>$B$7</f>
        <v>30</v>
      </c>
      <c r="B22" s="5">
        <v>4</v>
      </c>
      <c r="C22" s="6">
        <v>21301.41</v>
      </c>
      <c r="D22" s="6">
        <v>2073.98</v>
      </c>
      <c r="E22" s="6">
        <v>1227.43</v>
      </c>
      <c r="F22" s="6">
        <v>18000</v>
      </c>
      <c r="G22" s="6">
        <v>17.23</v>
      </c>
      <c r="H22" s="7" t="s">
        <v>32</v>
      </c>
      <c r="I22" s="7"/>
      <c r="J22" s="12"/>
      <c r="K22" s="12"/>
      <c r="L22" s="12"/>
      <c r="M22" s="12"/>
      <c r="N22" s="12"/>
      <c r="O22" s="12"/>
      <c r="P22" s="12"/>
      <c r="Q22" s="12"/>
      <c r="R22" s="12"/>
    </row>
    <row r="23" spans="1:18">
      <c r="A23" s="4">
        <f>$B$7</f>
        <v>30</v>
      </c>
      <c r="B23" s="5">
        <v>5</v>
      </c>
      <c r="C23" s="6">
        <v>21930.19</v>
      </c>
      <c r="D23" s="6">
        <v>1744.06</v>
      </c>
      <c r="E23" s="6">
        <v>1186.1199999999999</v>
      </c>
      <c r="F23" s="6">
        <v>19000</v>
      </c>
      <c r="G23" s="6">
        <v>14</v>
      </c>
      <c r="H23" s="7" t="s">
        <v>32</v>
      </c>
      <c r="I23" s="7"/>
      <c r="J23" s="12"/>
      <c r="K23" s="12"/>
      <c r="L23" s="12"/>
      <c r="M23" s="12"/>
      <c r="N23" s="12"/>
      <c r="O23" s="12"/>
      <c r="P23" s="12"/>
      <c r="Q23" s="12"/>
      <c r="R23" s="12"/>
    </row>
    <row r="24" spans="1:18">
      <c r="A24" s="4">
        <f>$B$8</f>
        <v>45</v>
      </c>
      <c r="B24" s="5">
        <v>1</v>
      </c>
      <c r="C24" s="6">
        <v>21750.26</v>
      </c>
      <c r="D24" s="6">
        <v>1466.15</v>
      </c>
      <c r="E24" s="6">
        <v>1284.1099999999999</v>
      </c>
      <c r="F24" s="6">
        <v>19000</v>
      </c>
      <c r="G24" s="6">
        <v>15.31</v>
      </c>
      <c r="H24" s="7" t="s">
        <v>32</v>
      </c>
      <c r="I24" s="7"/>
      <c r="J24" s="12"/>
      <c r="K24" s="12"/>
      <c r="L24" s="12"/>
      <c r="M24" s="12"/>
      <c r="N24" s="12"/>
      <c r="O24" s="12"/>
      <c r="P24" s="12"/>
      <c r="Q24" s="12"/>
      <c r="R24" s="12"/>
    </row>
    <row r="25" spans="1:18">
      <c r="A25" s="4">
        <f>$B$8</f>
        <v>45</v>
      </c>
      <c r="B25" s="5">
        <v>2</v>
      </c>
      <c r="C25" s="6">
        <v>10366.49</v>
      </c>
      <c r="D25" s="6">
        <v>2091.2199999999998</v>
      </c>
      <c r="E25" s="6">
        <v>1275.28</v>
      </c>
      <c r="F25" s="6">
        <v>7000</v>
      </c>
      <c r="G25" s="6">
        <v>7.92</v>
      </c>
      <c r="H25" s="7" t="s">
        <v>32</v>
      </c>
      <c r="I25" s="7"/>
      <c r="J25" s="12"/>
      <c r="K25" s="12"/>
      <c r="L25" s="12"/>
      <c r="M25" s="12"/>
      <c r="N25" s="12"/>
      <c r="O25" s="12"/>
      <c r="P25" s="12"/>
      <c r="Q25" s="12"/>
      <c r="R25" s="12"/>
    </row>
    <row r="26" spans="1:18">
      <c r="A26" s="4">
        <f>$B$8</f>
        <v>45</v>
      </c>
      <c r="B26" s="5">
        <v>3</v>
      </c>
      <c r="C26" s="6">
        <v>28940.42</v>
      </c>
      <c r="D26" s="6">
        <v>1790.87</v>
      </c>
      <c r="E26" s="6">
        <v>1149.55</v>
      </c>
      <c r="F26" s="6">
        <v>26000</v>
      </c>
      <c r="G26" s="6">
        <v>9.59</v>
      </c>
      <c r="H26" s="7" t="s">
        <v>32</v>
      </c>
      <c r="I26" s="7"/>
      <c r="J26" s="12"/>
      <c r="K26" s="12"/>
      <c r="L26" s="12"/>
      <c r="M26" s="12"/>
      <c r="N26" s="12"/>
      <c r="O26" s="12"/>
      <c r="P26" s="12"/>
      <c r="Q26" s="12"/>
      <c r="R26" s="12"/>
    </row>
    <row r="27" spans="1:18">
      <c r="A27" s="4">
        <f>$B$8</f>
        <v>45</v>
      </c>
      <c r="B27" s="5">
        <v>4</v>
      </c>
      <c r="C27" s="6">
        <v>21923.79</v>
      </c>
      <c r="D27" s="6">
        <v>2725.97</v>
      </c>
      <c r="E27" s="6">
        <v>1197.82</v>
      </c>
      <c r="F27" s="6">
        <v>18000</v>
      </c>
      <c r="G27" s="6">
        <v>30.87</v>
      </c>
      <c r="H27" s="7" t="s">
        <v>32</v>
      </c>
      <c r="I27" s="7"/>
      <c r="J27" s="12"/>
      <c r="K27" s="12"/>
      <c r="L27" s="12"/>
      <c r="M27" s="12"/>
      <c r="N27" s="12"/>
      <c r="O27" s="12"/>
      <c r="P27" s="12"/>
      <c r="Q27" s="12"/>
      <c r="R27" s="12"/>
    </row>
    <row r="28" spans="1:18">
      <c r="A28" s="4">
        <f>$B$8</f>
        <v>45</v>
      </c>
      <c r="B28" s="5">
        <v>5</v>
      </c>
      <c r="C28" s="6">
        <v>21870.43</v>
      </c>
      <c r="D28" s="6">
        <v>1732.32</v>
      </c>
      <c r="E28" s="6">
        <v>1138.1099999999999</v>
      </c>
      <c r="F28" s="6">
        <v>19000</v>
      </c>
      <c r="G28" s="6">
        <v>10.96</v>
      </c>
      <c r="H28" s="7" t="s">
        <v>32</v>
      </c>
      <c r="I28" s="7"/>
      <c r="J28" s="12"/>
      <c r="K28" s="12"/>
      <c r="L28" s="12"/>
      <c r="M28" s="12"/>
      <c r="N28" s="12"/>
      <c r="O28" s="12"/>
      <c r="P28" s="12"/>
      <c r="Q28" s="12"/>
      <c r="R28" s="12"/>
    </row>
    <row r="29" spans="1:18">
      <c r="A29" s="4">
        <f>$B$9</f>
        <v>60</v>
      </c>
      <c r="B29" s="5">
        <v>1</v>
      </c>
      <c r="C29" s="6">
        <v>22167.89</v>
      </c>
      <c r="D29" s="6">
        <v>1837.93</v>
      </c>
      <c r="E29" s="6">
        <v>1329.95</v>
      </c>
      <c r="F29" s="6">
        <v>19000</v>
      </c>
      <c r="G29" s="6">
        <v>20.72</v>
      </c>
      <c r="H29" s="7" t="s">
        <v>32</v>
      </c>
      <c r="I29" s="7"/>
      <c r="J29" s="12"/>
      <c r="K29" s="12"/>
      <c r="L29" s="12"/>
      <c r="M29" s="12"/>
      <c r="N29" s="12"/>
      <c r="O29" s="12"/>
      <c r="P29" s="12"/>
      <c r="Q29" s="12"/>
      <c r="R29" s="12"/>
    </row>
    <row r="30" spans="1:18">
      <c r="A30" s="4">
        <f>$B$9</f>
        <v>60</v>
      </c>
      <c r="B30" s="5">
        <v>2</v>
      </c>
      <c r="C30" s="6">
        <v>13903.21</v>
      </c>
      <c r="D30" s="6">
        <v>2566.73</v>
      </c>
      <c r="E30" s="6">
        <v>1336.48</v>
      </c>
      <c r="F30" s="6">
        <v>10000</v>
      </c>
      <c r="G30" s="6">
        <v>8.0299999999999994</v>
      </c>
      <c r="H30" s="7" t="s">
        <v>32</v>
      </c>
      <c r="I30" s="7"/>
      <c r="J30" s="12"/>
      <c r="K30" s="12"/>
      <c r="L30" s="12"/>
      <c r="M30" s="12"/>
      <c r="N30" s="12"/>
      <c r="O30" s="12"/>
      <c r="P30" s="12"/>
      <c r="Q30" s="12"/>
      <c r="R30" s="12"/>
    </row>
    <row r="31" spans="1:18">
      <c r="A31" s="4">
        <f>$B$9</f>
        <v>60</v>
      </c>
      <c r="B31" s="5">
        <v>3</v>
      </c>
      <c r="C31" s="6">
        <v>34408.36</v>
      </c>
      <c r="D31" s="6">
        <v>2270.08</v>
      </c>
      <c r="E31" s="6">
        <v>1138.28</v>
      </c>
      <c r="F31" s="6">
        <v>31000</v>
      </c>
      <c r="G31" s="6">
        <v>12.7</v>
      </c>
      <c r="H31" s="7" t="s">
        <v>32</v>
      </c>
      <c r="I31" s="7"/>
      <c r="J31" s="12"/>
      <c r="K31" s="12"/>
      <c r="L31" s="12"/>
      <c r="M31" s="12"/>
      <c r="N31" s="12"/>
      <c r="O31" s="12"/>
      <c r="P31" s="12"/>
      <c r="Q31" s="12"/>
      <c r="R31" s="12"/>
    </row>
    <row r="32" spans="1:18">
      <c r="A32" s="4">
        <f>$B$9</f>
        <v>60</v>
      </c>
      <c r="B32" s="5">
        <v>4</v>
      </c>
      <c r="C32" s="6">
        <v>21870.95</v>
      </c>
      <c r="D32" s="6">
        <v>2650.32</v>
      </c>
      <c r="E32" s="6">
        <v>1220.6199999999999</v>
      </c>
      <c r="F32" s="6">
        <v>18000</v>
      </c>
      <c r="G32" s="6">
        <v>19.34</v>
      </c>
      <c r="H32" s="7" t="s">
        <v>32</v>
      </c>
      <c r="I32" s="7"/>
      <c r="J32" s="12"/>
      <c r="K32" s="12"/>
      <c r="L32" s="12"/>
      <c r="M32" s="12"/>
      <c r="N32" s="12"/>
      <c r="O32" s="12"/>
      <c r="P32" s="12"/>
      <c r="Q32" s="12"/>
      <c r="R32" s="12"/>
    </row>
    <row r="33" spans="1:18">
      <c r="A33" s="4">
        <f>$B$9</f>
        <v>60</v>
      </c>
      <c r="B33" s="5">
        <v>5</v>
      </c>
      <c r="C33" s="6">
        <v>22176.01</v>
      </c>
      <c r="D33" s="6">
        <v>2024.73</v>
      </c>
      <c r="E33" s="6">
        <v>1151.28</v>
      </c>
      <c r="F33" s="6">
        <v>19000</v>
      </c>
      <c r="G33" s="6">
        <v>8.52</v>
      </c>
      <c r="H33" s="7" t="s">
        <v>32</v>
      </c>
      <c r="I33" s="7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4">
        <f>$B$10</f>
        <v>90</v>
      </c>
      <c r="B34" s="5">
        <v>1</v>
      </c>
      <c r="C34" s="6">
        <v>24851.38</v>
      </c>
      <c r="D34" s="6">
        <v>2583.17</v>
      </c>
      <c r="E34" s="6">
        <v>1268.2</v>
      </c>
      <c r="F34" s="6">
        <v>21000</v>
      </c>
      <c r="G34" s="6">
        <v>8</v>
      </c>
      <c r="H34" s="7" t="s">
        <v>32</v>
      </c>
      <c r="I34" s="7"/>
      <c r="J34" s="12"/>
      <c r="K34" s="12"/>
      <c r="L34" s="12"/>
      <c r="M34" s="12"/>
      <c r="N34" s="12"/>
      <c r="O34" s="12"/>
      <c r="P34" s="12"/>
      <c r="Q34" s="12"/>
      <c r="R34" s="12"/>
    </row>
    <row r="35" spans="1:18">
      <c r="A35" s="4">
        <f>$B$10</f>
        <v>90</v>
      </c>
      <c r="B35" s="5">
        <v>2</v>
      </c>
      <c r="C35" s="6">
        <v>16652.939999999999</v>
      </c>
      <c r="D35" s="6">
        <v>2428.21</v>
      </c>
      <c r="E35" s="6">
        <v>1224.73</v>
      </c>
      <c r="F35" s="6">
        <v>13000</v>
      </c>
      <c r="G35" s="6">
        <v>6.85</v>
      </c>
      <c r="H35" s="7" t="s">
        <v>32</v>
      </c>
      <c r="I35" s="7"/>
      <c r="J35" s="12"/>
      <c r="K35" s="12"/>
      <c r="L35" s="12"/>
      <c r="M35" s="12"/>
      <c r="N35" s="12"/>
      <c r="O35" s="12"/>
      <c r="P35" s="12"/>
      <c r="Q35" s="12"/>
      <c r="R35" s="12"/>
    </row>
    <row r="36" spans="1:18">
      <c r="A36" s="4">
        <f>$B$10</f>
        <v>90</v>
      </c>
      <c r="B36" s="5">
        <v>3</v>
      </c>
      <c r="C36" s="6">
        <v>35498.04</v>
      </c>
      <c r="D36" s="6">
        <v>2299.23</v>
      </c>
      <c r="E36" s="6">
        <v>1198.8</v>
      </c>
      <c r="F36" s="6">
        <v>32000</v>
      </c>
      <c r="G36" s="6">
        <v>17.89</v>
      </c>
      <c r="H36" s="7" t="s">
        <v>32</v>
      </c>
      <c r="I36" s="7"/>
      <c r="J36" s="12"/>
      <c r="K36" s="12"/>
      <c r="L36" s="12"/>
      <c r="M36" s="12"/>
      <c r="N36" s="12"/>
      <c r="O36" s="12"/>
      <c r="P36" s="12"/>
      <c r="Q36" s="12"/>
      <c r="R36" s="12"/>
    </row>
    <row r="37" spans="1:18">
      <c r="A37" s="4">
        <f>$B$10</f>
        <v>90</v>
      </c>
      <c r="B37" s="5">
        <v>4</v>
      </c>
      <c r="C37" s="6">
        <v>32828.839999999997</v>
      </c>
      <c r="D37" s="6">
        <v>2643.78</v>
      </c>
      <c r="E37" s="6">
        <v>1185.06</v>
      </c>
      <c r="F37" s="6">
        <v>29000</v>
      </c>
      <c r="G37" s="6">
        <v>14.73</v>
      </c>
      <c r="H37" s="7" t="s">
        <v>32</v>
      </c>
      <c r="I37" s="7"/>
      <c r="J37" s="12"/>
      <c r="K37" s="12"/>
      <c r="L37" s="12"/>
      <c r="M37" s="12"/>
      <c r="N37" s="12"/>
      <c r="O37" s="12"/>
      <c r="P37" s="12"/>
      <c r="Q37" s="12"/>
      <c r="R37" s="12"/>
    </row>
    <row r="38" spans="1:18">
      <c r="A38" s="8">
        <f>$B$10</f>
        <v>90</v>
      </c>
      <c r="B38" s="9">
        <v>5</v>
      </c>
      <c r="C38" s="10">
        <v>25403.46</v>
      </c>
      <c r="D38" s="10">
        <v>2357.5</v>
      </c>
      <c r="E38" s="10">
        <v>1045.96</v>
      </c>
      <c r="F38" s="10">
        <v>22000</v>
      </c>
      <c r="G38" s="10">
        <v>6.85</v>
      </c>
      <c r="H38" s="11" t="s">
        <v>32</v>
      </c>
      <c r="I38" s="11"/>
      <c r="J38" s="12"/>
      <c r="K38" s="12"/>
      <c r="L38" s="12"/>
      <c r="M38" s="12"/>
      <c r="N38" s="12"/>
      <c r="O38" s="12"/>
      <c r="P38" s="12"/>
      <c r="Q38" s="12"/>
      <c r="R38" s="12"/>
    </row>
  </sheetData>
  <mergeCells count="2">
    <mergeCell ref="A2:I2"/>
    <mergeCell ref="A3:I3"/>
  </mergeCells>
  <dataValidations count="1">
    <dataValidation type="list" sqref="H14:H38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T63"/>
  <sheetViews>
    <sheetView showGridLines="0" tabSelected="1" workbookViewId="0">
      <selection activeCell="I32" sqref="I32"/>
    </sheetView>
  </sheetViews>
  <sheetFormatPr defaultRowHeight="13.8"/>
  <cols>
    <col min="1" max="1" width="20" customWidth="1"/>
    <col min="2" max="2" width="11" customWidth="1"/>
    <col min="3" max="3" width="10" customWidth="1"/>
    <col min="4" max="7" width="18" customWidth="1"/>
    <col min="8" max="8" width="14" customWidth="1"/>
    <col min="9" max="9" width="11" customWidth="1"/>
    <col min="10" max="10" width="24" customWidth="1"/>
    <col min="11" max="11" width="3" customWidth="1"/>
    <col min="12" max="12" width="20" customWidth="1"/>
    <col min="13" max="13" width="10" customWidth="1"/>
    <col min="14" max="20" width="16" customWidth="1"/>
  </cols>
  <sheetData>
    <row r="2" spans="1:20" ht="24" customHeight="1">
      <c r="A2" s="32" t="s">
        <v>25</v>
      </c>
      <c r="B2" s="33"/>
      <c r="C2" s="33"/>
      <c r="D2" s="33"/>
      <c r="E2" s="33"/>
      <c r="F2" s="33"/>
      <c r="G2" s="33"/>
      <c r="H2" s="33"/>
      <c r="I2" s="33"/>
      <c r="J2" s="33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>
      <c r="A3" s="34" t="s">
        <v>26</v>
      </c>
      <c r="B3" s="33"/>
      <c r="C3" s="33"/>
      <c r="D3" s="33"/>
      <c r="E3" s="33"/>
      <c r="F3" s="33"/>
      <c r="G3" s="33"/>
      <c r="H3" s="33"/>
      <c r="I3" s="33"/>
      <c r="J3" s="33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>
      <c r="A4" s="13"/>
      <c r="B4" s="13"/>
      <c r="C4" s="13"/>
      <c r="D4" s="13"/>
      <c r="E4" s="13"/>
      <c r="F4" s="13"/>
      <c r="G4" s="13"/>
      <c r="H4" s="13"/>
      <c r="I4" s="13"/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>
      <c r="A5" s="1" t="s">
        <v>2</v>
      </c>
      <c r="B5" s="2" t="s">
        <v>27</v>
      </c>
      <c r="C5" s="12"/>
      <c r="D5" s="12"/>
      <c r="E5" s="12"/>
      <c r="F5" s="12"/>
      <c r="G5" s="12"/>
      <c r="H5" s="12"/>
      <c r="I5" s="12"/>
      <c r="J5" s="12"/>
      <c r="K5" s="12"/>
      <c r="L5" s="3" t="s">
        <v>28</v>
      </c>
      <c r="M5" s="3" t="s">
        <v>29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</row>
    <row r="6" spans="1:20">
      <c r="A6" s="14" t="s">
        <v>12</v>
      </c>
      <c r="B6" s="24">
        <v>0</v>
      </c>
      <c r="C6" s="12"/>
      <c r="D6" s="12"/>
      <c r="E6" s="12"/>
      <c r="F6" s="12"/>
      <c r="G6" s="12"/>
      <c r="H6" s="12"/>
      <c r="I6" s="12"/>
      <c r="J6" s="12"/>
      <c r="K6" s="12"/>
      <c r="L6" s="25">
        <f>$B$6</f>
        <v>0</v>
      </c>
      <c r="M6" s="26" t="s">
        <v>30</v>
      </c>
      <c r="N6" s="17">
        <f>IF(COUNT(D14:D18)=0,"",AVERAGE(D14:D18))</f>
        <v>6503.8602000000001</v>
      </c>
      <c r="O6" s="17">
        <f>IF(COUNT(D14:D18)&lt;2,"",_xlfn.STDEV.S(D14:D18))</f>
        <v>5933.7964156436719</v>
      </c>
      <c r="P6" s="17">
        <f>IF(COUNT(E14:E18)=0,"",AVERAGE(E14:E18))</f>
        <v>1044.0273999999999</v>
      </c>
      <c r="Q6" s="17">
        <f>IF(COUNT(F14:F18)=0,"",AVERAGE(F14:F18))</f>
        <v>1259.8326000000002</v>
      </c>
      <c r="R6" s="17">
        <f>IF(COUNT(G14:G18)=0,"",AVERAGE(G14:G18))</f>
        <v>4200</v>
      </c>
      <c r="S6" s="17">
        <f>IF(COUNT(H14:H18)=0,"",AVERAGE(H14:H18))</f>
        <v>47.226599999999998</v>
      </c>
      <c r="T6" s="18">
        <f>IF(COUNTA(I14:I18)=0,"",COUNTIF(I14:I18,"Yes"))</f>
        <v>5</v>
      </c>
    </row>
    <row r="7" spans="1:20">
      <c r="A7" s="14" t="s">
        <v>13</v>
      </c>
      <c r="B7" s="24">
        <v>0.05</v>
      </c>
      <c r="C7" s="12"/>
      <c r="D7" s="12"/>
      <c r="E7" s="12"/>
      <c r="F7" s="12"/>
      <c r="G7" s="12"/>
      <c r="H7" s="12"/>
      <c r="I7" s="12"/>
      <c r="J7" s="12"/>
      <c r="K7" s="12"/>
      <c r="L7" s="25">
        <f>$B$6</f>
        <v>0</v>
      </c>
      <c r="M7" s="26" t="s">
        <v>31</v>
      </c>
      <c r="N7" s="17">
        <f>IF(COUNT(D19:D23)=0,"",AVERAGE(D19:D23))</f>
        <v>12453.064000000002</v>
      </c>
      <c r="O7" s="17">
        <f>IF(COUNT(D19:D23)&lt;2,"",_xlfn.STDEV.S(D19:D23))</f>
        <v>5033.4548093411913</v>
      </c>
      <c r="P7" s="17">
        <f>IF(COUNT(E19:E23)=0,"",AVERAGE(E19:E23))</f>
        <v>2310.8559999999998</v>
      </c>
      <c r="Q7" s="17">
        <f>IF(COUNT(F19:F23)=0,"",AVERAGE(F19:F23))</f>
        <v>1142.2040000000002</v>
      </c>
      <c r="R7" s="17">
        <f>IF(COUNT(G19:G23)=0,"",AVERAGE(G19:G23))</f>
        <v>9000</v>
      </c>
      <c r="S7" s="17">
        <f>IF(COUNT(H19:H23)=0,"",AVERAGE(H19:H23))</f>
        <v>11.966000000000001</v>
      </c>
      <c r="T7" s="18">
        <f>IF(COUNTA(I19:I23)=0,"",COUNTIF(I19:I23,"Yes"))</f>
        <v>5</v>
      </c>
    </row>
    <row r="8" spans="1:20">
      <c r="A8" s="14" t="s">
        <v>14</v>
      </c>
      <c r="B8" s="24">
        <v>0.1</v>
      </c>
      <c r="C8" s="12"/>
      <c r="D8" s="12"/>
      <c r="E8" s="12"/>
      <c r="F8" s="12"/>
      <c r="G8" s="12"/>
      <c r="H8" s="12"/>
      <c r="I8" s="12"/>
      <c r="J8" s="12"/>
      <c r="K8" s="12"/>
      <c r="L8" s="25">
        <f>$B$7</f>
        <v>0.05</v>
      </c>
      <c r="M8" s="26" t="s">
        <v>30</v>
      </c>
      <c r="N8" s="17">
        <f>IF(COUNT(D24:D28)=0,"",AVERAGE(D24:D28))</f>
        <v>11795.3662</v>
      </c>
      <c r="O8" s="17">
        <f>IF(COUNT(D24:D28)&lt;2,"",_xlfn.STDEV.S(D24:D28))</f>
        <v>5087.6675650829666</v>
      </c>
      <c r="P8" s="17">
        <f>IF(COUNT(E24:E28)=0,"",AVERAGE(E24:E28))</f>
        <v>883.37740000000008</v>
      </c>
      <c r="Q8" s="17">
        <f>IF(COUNT(F24:F28)=0,"",AVERAGE(F24:F28))</f>
        <v>1311.989</v>
      </c>
      <c r="R8" s="17">
        <f>IF(COUNT(G24:G28)=0,"",AVERAGE(G24:G28))</f>
        <v>9600</v>
      </c>
      <c r="S8" s="17">
        <f>IF(COUNT(H24:H28)=0,"",AVERAGE(H24:H28))</f>
        <v>55.143000000000008</v>
      </c>
      <c r="T8" s="18">
        <f>IF(COUNTA(I24:I28)=0,"",COUNTIF(I24:I28,"Yes"))</f>
        <v>5</v>
      </c>
    </row>
    <row r="9" spans="1:20">
      <c r="A9" s="14" t="s">
        <v>15</v>
      </c>
      <c r="B9" s="24">
        <v>0.15</v>
      </c>
      <c r="C9" s="12"/>
      <c r="D9" s="12"/>
      <c r="E9" s="12"/>
      <c r="F9" s="12"/>
      <c r="G9" s="12"/>
      <c r="H9" s="12"/>
      <c r="I9" s="12"/>
      <c r="J9" s="12"/>
      <c r="K9" s="12"/>
      <c r="L9" s="25">
        <f>$B$7</f>
        <v>0.05</v>
      </c>
      <c r="M9" s="26" t="s">
        <v>31</v>
      </c>
      <c r="N9" s="17">
        <f>IF(COUNT(D29:D33)=0,"",AVERAGE(D29:D33))</f>
        <v>17268.148599999997</v>
      </c>
      <c r="O9" s="17">
        <f>IF(COUNT(D29:D33)&lt;2,"",_xlfn.STDEV.S(D29:D33))</f>
        <v>5175.7652363747056</v>
      </c>
      <c r="P9" s="17">
        <f>IF(COUNT(E29:E33)=0,"",AVERAGE(E29:E33))</f>
        <v>2068.2979999999998</v>
      </c>
      <c r="Q9" s="17">
        <f>IF(COUNT(F29:F33)=0,"",AVERAGE(F29:F33))</f>
        <v>1199.8499999999999</v>
      </c>
      <c r="R9" s="17">
        <f>IF(COUNT(G29:G33)=0,"",AVERAGE(G29:G33))</f>
        <v>14000</v>
      </c>
      <c r="S9" s="17">
        <f>IF(COUNT(H29:H33)=0,"",AVERAGE(H29:H33))</f>
        <v>173.43199999999999</v>
      </c>
      <c r="T9" s="18">
        <f>IF(COUNTA(I29:I33)=0,"",COUNTIF(I29:I33,"Yes"))</f>
        <v>5</v>
      </c>
    </row>
    <row r="10" spans="1:20">
      <c r="A10" s="19" t="s">
        <v>16</v>
      </c>
      <c r="B10" s="27">
        <v>0.2</v>
      </c>
      <c r="C10" s="12"/>
      <c r="D10" s="12"/>
      <c r="E10" s="12"/>
      <c r="F10" s="12"/>
      <c r="G10" s="12"/>
      <c r="H10" s="12"/>
      <c r="I10" s="12"/>
      <c r="J10" s="12"/>
      <c r="K10" s="12"/>
      <c r="L10" s="25">
        <f>$B$8</f>
        <v>0.1</v>
      </c>
      <c r="M10" s="26" t="s">
        <v>30</v>
      </c>
      <c r="N10" s="17">
        <f>IF(COUNT(D34:D38)=0,"",AVERAGE(D34:D38))</f>
        <v>15110.002799999998</v>
      </c>
      <c r="O10" s="17">
        <f>IF(COUNT(D34:D38)&lt;2,"",_xlfn.STDEV.S(D34:D38))</f>
        <v>7090.5921018871022</v>
      </c>
      <c r="P10" s="17">
        <f>IF(COUNT(E34:E38)=0,"",AVERAGE(E34:E38))</f>
        <v>1156.3098</v>
      </c>
      <c r="Q10" s="17">
        <f>IF(COUNT(F34:F38)=0,"",AVERAGE(F34:F38))</f>
        <v>1353.6922</v>
      </c>
      <c r="R10" s="17">
        <f>IF(COUNT(G34:G38)=0,"",AVERAGE(G34:G38))</f>
        <v>12600</v>
      </c>
      <c r="S10" s="17">
        <f>IF(COUNT(H34:H38)=0,"",AVERAGE(H34:H38))</f>
        <v>70.423399999999987</v>
      </c>
      <c r="T10" s="18">
        <f>IF(COUNTA(I34:I38)=0,"",COUNTIF(I34:I38,"Yes"))</f>
        <v>5</v>
      </c>
    </row>
    <row r="11" spans="1:20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25">
        <f>$B$8</f>
        <v>0.1</v>
      </c>
      <c r="M11" s="26" t="s">
        <v>31</v>
      </c>
      <c r="N11" s="17">
        <f>IF(COUNT(D39:D43)=0,"",AVERAGE(D39:D43))</f>
        <v>22905.283999999996</v>
      </c>
      <c r="O11" s="17">
        <f>IF(COUNT(D39:D43)&lt;2,"",_xlfn.STDEV.S(D39:D43))</f>
        <v>7340.0192619829204</v>
      </c>
      <c r="P11" s="17">
        <f>IF(COUNT(E39:E43)=0,"",AVERAGE(E39:E43))</f>
        <v>2269.9579999999996</v>
      </c>
      <c r="Q11" s="17">
        <f>IF(COUNT(F39:F43)=0,"",AVERAGE(F39:F43))</f>
        <v>1235.3219999999999</v>
      </c>
      <c r="R11" s="17">
        <f>IF(COUNT(G39:G43)=0,"",AVERAGE(G39:G43))</f>
        <v>19400</v>
      </c>
      <c r="S11" s="17">
        <f>IF(COUNT(H39:H43)=0,"",AVERAGE(H39:H43))</f>
        <v>13.862</v>
      </c>
      <c r="T11" s="18">
        <f>IF(COUNTA(I39:I43)=0,"",COUNTIF(I39:I43,"Yes"))</f>
        <v>5</v>
      </c>
    </row>
    <row r="12" spans="1:20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25">
        <f>$B$9</f>
        <v>0.15</v>
      </c>
      <c r="M12" s="26" t="s">
        <v>30</v>
      </c>
      <c r="N12" s="17">
        <f>IF(COUNT(D44:D48)=0,"",AVERAGE(D44:D48))</f>
        <v>20341.269</v>
      </c>
      <c r="O12" s="17">
        <f>IF(COUNT(D44:D48)&lt;2,"",_xlfn.STDEV.S(D44:D48))</f>
        <v>5650.8338263958403</v>
      </c>
      <c r="P12" s="17">
        <f>IF(COUNT(E44:E48)=0,"",AVERAGE(E44:E48))</f>
        <v>1696.3809999999999</v>
      </c>
      <c r="Q12" s="17">
        <f>IF(COUNT(F44:F48)=0,"",AVERAGE(F44:F48))</f>
        <v>1444.8881999999999</v>
      </c>
      <c r="R12" s="17">
        <f>IF(COUNT(G44:G48)=0,"",AVERAGE(G44:G48))</f>
        <v>17200</v>
      </c>
      <c r="S12" s="17">
        <f>IF(COUNT(H44:H48)=0,"",AVERAGE(H44:H48))</f>
        <v>77.900800000000004</v>
      </c>
      <c r="T12" s="18">
        <f>IF(COUNTA(I44:I48)=0,"",COUNTIF(I44:I48,"Yes"))</f>
        <v>5</v>
      </c>
    </row>
    <row r="13" spans="1:20" ht="30" customHeight="1">
      <c r="A13" s="3" t="s">
        <v>28</v>
      </c>
      <c r="B13" s="3" t="s">
        <v>17</v>
      </c>
      <c r="C13" s="3" t="s">
        <v>29</v>
      </c>
      <c r="D13" s="3" t="s">
        <v>18</v>
      </c>
      <c r="E13" s="3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12"/>
      <c r="L13" s="25">
        <f>$B$9</f>
        <v>0.15</v>
      </c>
      <c r="M13" s="26" t="s">
        <v>31</v>
      </c>
      <c r="N13" s="17">
        <f>IF(COUNT(D49:D53)=0,"",AVERAGE(D49:D53))</f>
        <v>28040.829999999998</v>
      </c>
      <c r="O13" s="17">
        <f>IF(COUNT(D49:D53)&lt;2,"",_xlfn.STDEV.S(D49:D53))</f>
        <v>5017.5062026269561</v>
      </c>
      <c r="P13" s="17">
        <f>IF(COUNT(E49:E53)=0,"",AVERAGE(E49:E53))</f>
        <v>2564.0320000000002</v>
      </c>
      <c r="Q13" s="17">
        <f>IF(COUNT(F49:F53)=0,"",AVERAGE(F49:F53))</f>
        <v>1276.8</v>
      </c>
      <c r="R13" s="17">
        <f>IF(COUNT(G49:G53)=0,"",AVERAGE(G49:G53))</f>
        <v>24200</v>
      </c>
      <c r="S13" s="17">
        <f>IF(COUNT(H49:H53)=0,"",AVERAGE(H49:H53))</f>
        <v>61.958199999999998</v>
      </c>
      <c r="T13" s="18">
        <f>IF(COUNTA(I49:I53)=0,"",COUNTIF(I49:I53,"Yes"))</f>
        <v>5</v>
      </c>
    </row>
    <row r="14" spans="1:20">
      <c r="A14" s="28">
        <f t="shared" ref="A14:A23" si="0">$B$6</f>
        <v>0</v>
      </c>
      <c r="B14" s="5">
        <v>1</v>
      </c>
      <c r="C14" s="5" t="s">
        <v>30</v>
      </c>
      <c r="D14" s="6">
        <v>1944.489</v>
      </c>
      <c r="E14" s="6">
        <v>674.904</v>
      </c>
      <c r="F14" s="6">
        <v>1269.5840000000001</v>
      </c>
      <c r="G14" s="6">
        <v>0</v>
      </c>
      <c r="H14" s="6">
        <v>46.875999999999998</v>
      </c>
      <c r="I14" s="7" t="s">
        <v>32</v>
      </c>
      <c r="J14" s="7"/>
      <c r="K14" s="12"/>
      <c r="L14" s="25">
        <f>$B$10</f>
        <v>0.2</v>
      </c>
      <c r="M14" s="26" t="s">
        <v>30</v>
      </c>
      <c r="N14" s="17">
        <f>IF(COUNT(D54:D58)=0,"",AVERAGE(D54:D58))</f>
        <v>23983.9532</v>
      </c>
      <c r="O14" s="17">
        <f>IF(COUNT(D54:D58)&lt;2,"",_xlfn.STDEV.S(D54:D58))</f>
        <v>7524.5827862063934</v>
      </c>
      <c r="P14" s="17">
        <f>IF(COUNT(E54:E58)=0,"",AVERAGE(E54:E58))</f>
        <v>1525.049</v>
      </c>
      <c r="Q14" s="17">
        <f>IF(COUNT(F54:F58)=0,"",AVERAGE(F54:F58))</f>
        <v>1458.9041999999999</v>
      </c>
      <c r="R14" s="17">
        <f>IF(COUNT(G54:G58)=0,"",AVERAGE(G54:G58))</f>
        <v>21000</v>
      </c>
      <c r="S14" s="17">
        <f>IF(COUNT(H54:H58)=0,"",AVERAGE(H54:H58))</f>
        <v>90.865000000000009</v>
      </c>
      <c r="T14" s="18">
        <f>IF(COUNTA(I54:I58)=0,"",COUNTIF(I54:I58,"Yes"))</f>
        <v>5</v>
      </c>
    </row>
    <row r="15" spans="1:20">
      <c r="A15" s="28">
        <f t="shared" si="0"/>
        <v>0</v>
      </c>
      <c r="B15" s="5">
        <v>2</v>
      </c>
      <c r="C15" s="5" t="s">
        <v>30</v>
      </c>
      <c r="D15" s="6">
        <v>1975.2429999999999</v>
      </c>
      <c r="E15" s="6">
        <v>680.27</v>
      </c>
      <c r="F15" s="6">
        <v>1294.973</v>
      </c>
      <c r="G15" s="6">
        <v>0</v>
      </c>
      <c r="H15" s="6">
        <v>45.71</v>
      </c>
      <c r="I15" s="7" t="s">
        <v>32</v>
      </c>
      <c r="J15" s="7"/>
      <c r="K15" s="12"/>
      <c r="L15" s="29">
        <f>$B$10</f>
        <v>0.2</v>
      </c>
      <c r="M15" s="30" t="s">
        <v>31</v>
      </c>
      <c r="N15" s="22">
        <f>IF(COUNT(D59:D63)=0,"",AVERAGE(D59:D63))</f>
        <v>30731.042599999997</v>
      </c>
      <c r="O15" s="22">
        <f>IF(COUNT(D59:D63)&lt;2,"",_xlfn.STDEV.S(D59:D63))</f>
        <v>8228.3933648137991</v>
      </c>
      <c r="P15" s="22">
        <f>IF(COUNT(E59:E63)=0,"",AVERAGE(E59:E63))</f>
        <v>2402.3478</v>
      </c>
      <c r="Q15" s="22">
        <f>IF(COUNT(F59:F63)=0,"",AVERAGE(F59:F63))</f>
        <v>1328.694</v>
      </c>
      <c r="R15" s="22">
        <f>IF(COUNT(G59:G63)=0,"",AVERAGE(G59:G63))</f>
        <v>27000</v>
      </c>
      <c r="S15" s="22">
        <f>IF(COUNT(H59:H63)=0,"",AVERAGE(H59:H63))</f>
        <v>39.866</v>
      </c>
      <c r="T15" s="23">
        <f>IF(COUNTA(I59:I63)=0,"",COUNTIF(I59:I63,"Yes"))</f>
        <v>5</v>
      </c>
    </row>
    <row r="16" spans="1:20">
      <c r="A16" s="28">
        <f t="shared" si="0"/>
        <v>0</v>
      </c>
      <c r="B16" s="5">
        <v>3</v>
      </c>
      <c r="C16" s="5" t="s">
        <v>30</v>
      </c>
      <c r="D16" s="6">
        <v>14420.451999999999</v>
      </c>
      <c r="E16" s="6">
        <v>1251.4549999999999</v>
      </c>
      <c r="F16" s="6">
        <v>1168.998</v>
      </c>
      <c r="G16" s="6">
        <v>12000</v>
      </c>
      <c r="H16" s="6">
        <v>49.34</v>
      </c>
      <c r="I16" s="7" t="s">
        <v>32</v>
      </c>
      <c r="J16" s="7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>
      <c r="A17" s="28">
        <f t="shared" si="0"/>
        <v>0</v>
      </c>
      <c r="B17" s="5">
        <v>4</v>
      </c>
      <c r="C17" s="5" t="s">
        <v>30</v>
      </c>
      <c r="D17" s="6">
        <v>2836.03</v>
      </c>
      <c r="E17" s="6">
        <v>1524.7</v>
      </c>
      <c r="F17" s="6">
        <v>1311.329</v>
      </c>
      <c r="G17" s="6">
        <v>0</v>
      </c>
      <c r="H17" s="6">
        <v>45.716000000000001</v>
      </c>
      <c r="I17" s="7" t="s">
        <v>32</v>
      </c>
      <c r="J17" s="7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>
      <c r="A18" s="28">
        <f t="shared" si="0"/>
        <v>0</v>
      </c>
      <c r="B18" s="5">
        <v>5</v>
      </c>
      <c r="C18" s="5" t="s">
        <v>30</v>
      </c>
      <c r="D18" s="6">
        <v>11343.087</v>
      </c>
      <c r="E18" s="6">
        <v>1088.808</v>
      </c>
      <c r="F18" s="6">
        <v>1254.279</v>
      </c>
      <c r="G18" s="6">
        <v>9000</v>
      </c>
      <c r="H18" s="6">
        <v>48.491</v>
      </c>
      <c r="I18" s="7" t="s">
        <v>32</v>
      </c>
      <c r="J18" s="7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>
      <c r="A19" s="28">
        <f t="shared" si="0"/>
        <v>0</v>
      </c>
      <c r="B19" s="5">
        <v>1</v>
      </c>
      <c r="C19" s="5" t="s">
        <v>31</v>
      </c>
      <c r="D19" s="6">
        <v>7042.93</v>
      </c>
      <c r="E19" s="6">
        <v>1858.74</v>
      </c>
      <c r="F19" s="6">
        <v>1184.19</v>
      </c>
      <c r="G19" s="6">
        <v>4000</v>
      </c>
      <c r="H19" s="6">
        <v>6.05</v>
      </c>
      <c r="I19" s="7" t="s">
        <v>32</v>
      </c>
      <c r="J19" s="7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>
      <c r="A20" s="28">
        <f t="shared" si="0"/>
        <v>0</v>
      </c>
      <c r="B20" s="5">
        <v>2</v>
      </c>
      <c r="C20" s="5" t="s">
        <v>31</v>
      </c>
      <c r="D20" s="6">
        <v>9463.75</v>
      </c>
      <c r="E20" s="6">
        <v>2283.9899999999998</v>
      </c>
      <c r="F20" s="6">
        <v>1179.76</v>
      </c>
      <c r="G20" s="6">
        <v>6000</v>
      </c>
      <c r="H20" s="6">
        <v>6.03</v>
      </c>
      <c r="I20" s="7" t="s">
        <v>32</v>
      </c>
      <c r="J20" s="7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s="28">
        <f t="shared" si="0"/>
        <v>0</v>
      </c>
      <c r="B21" s="5">
        <v>3</v>
      </c>
      <c r="C21" s="5" t="s">
        <v>31</v>
      </c>
      <c r="D21" s="6">
        <v>19581.59</v>
      </c>
      <c r="E21" s="6">
        <v>2593.17</v>
      </c>
      <c r="F21" s="6">
        <v>988.42</v>
      </c>
      <c r="G21" s="6">
        <v>16000</v>
      </c>
      <c r="H21" s="6">
        <v>19.05</v>
      </c>
      <c r="I21" s="7" t="s">
        <v>32</v>
      </c>
      <c r="J21" s="7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>
      <c r="A22" s="28">
        <f t="shared" si="0"/>
        <v>0</v>
      </c>
      <c r="B22" s="5">
        <v>4</v>
      </c>
      <c r="C22" s="5" t="s">
        <v>31</v>
      </c>
      <c r="D22" s="6">
        <v>10689.19</v>
      </c>
      <c r="E22" s="6">
        <v>2484.09</v>
      </c>
      <c r="F22" s="6">
        <v>1205.0899999999999</v>
      </c>
      <c r="G22" s="6">
        <v>7000</v>
      </c>
      <c r="H22" s="6">
        <v>17.350000000000001</v>
      </c>
      <c r="I22" s="7" t="s">
        <v>32</v>
      </c>
      <c r="J22" s="7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>
      <c r="A23" s="28">
        <f t="shared" si="0"/>
        <v>0</v>
      </c>
      <c r="B23" s="5">
        <v>5</v>
      </c>
      <c r="C23" s="5" t="s">
        <v>31</v>
      </c>
      <c r="D23" s="6">
        <v>15487.86</v>
      </c>
      <c r="E23" s="6">
        <v>2334.29</v>
      </c>
      <c r="F23" s="6">
        <v>1153.56</v>
      </c>
      <c r="G23" s="6">
        <v>12000</v>
      </c>
      <c r="H23" s="6">
        <v>11.35</v>
      </c>
      <c r="I23" s="7" t="s">
        <v>32</v>
      </c>
      <c r="J23" s="7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>
      <c r="A24" s="28">
        <f t="shared" ref="A24:A33" si="1">$B$7</f>
        <v>0.05</v>
      </c>
      <c r="B24" s="5">
        <v>1</v>
      </c>
      <c r="C24" s="5" t="s">
        <v>30</v>
      </c>
      <c r="D24" s="6">
        <v>8761.6149999999998</v>
      </c>
      <c r="E24" s="6">
        <v>404.988</v>
      </c>
      <c r="F24" s="6">
        <v>1356.627</v>
      </c>
      <c r="G24" s="6">
        <v>7000</v>
      </c>
      <c r="H24" s="6">
        <v>54.234000000000002</v>
      </c>
      <c r="I24" s="7" t="s">
        <v>32</v>
      </c>
      <c r="J24" s="7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>
      <c r="A25" s="28">
        <f t="shared" si="1"/>
        <v>0.05</v>
      </c>
      <c r="B25" s="5">
        <v>2</v>
      </c>
      <c r="C25" s="5" t="s">
        <v>30</v>
      </c>
      <c r="D25" s="6">
        <v>5302.3509999999997</v>
      </c>
      <c r="E25" s="6">
        <v>898.274</v>
      </c>
      <c r="F25" s="6">
        <v>1404.077</v>
      </c>
      <c r="G25" s="6">
        <v>3000</v>
      </c>
      <c r="H25" s="6">
        <v>58.5</v>
      </c>
      <c r="I25" s="7" t="s">
        <v>32</v>
      </c>
      <c r="J25" s="7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>
      <c r="A26" s="28">
        <f t="shared" si="1"/>
        <v>0.05</v>
      </c>
      <c r="B26" s="5">
        <v>3</v>
      </c>
      <c r="C26" s="5" t="s">
        <v>30</v>
      </c>
      <c r="D26" s="6">
        <v>15596.365</v>
      </c>
      <c r="E26" s="6">
        <v>1369.7840000000001</v>
      </c>
      <c r="F26" s="6">
        <v>1226.5809999999999</v>
      </c>
      <c r="G26" s="6">
        <v>13000</v>
      </c>
      <c r="H26" s="6">
        <v>50.637</v>
      </c>
      <c r="I26" s="7" t="s">
        <v>32</v>
      </c>
      <c r="J26" s="7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>
      <c r="A27" s="28">
        <f t="shared" si="1"/>
        <v>0.05</v>
      </c>
      <c r="B27" s="5">
        <v>4</v>
      </c>
      <c r="C27" s="5" t="s">
        <v>30</v>
      </c>
      <c r="D27" s="6">
        <v>11392.155000000001</v>
      </c>
      <c r="E27" s="6">
        <v>1031.6310000000001</v>
      </c>
      <c r="F27" s="6">
        <v>1360.5239999999999</v>
      </c>
      <c r="G27" s="6">
        <v>9000</v>
      </c>
      <c r="H27" s="6">
        <v>55.543999999999997</v>
      </c>
      <c r="I27" s="7" t="s">
        <v>32</v>
      </c>
      <c r="J27" s="7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>
      <c r="A28" s="28">
        <f t="shared" si="1"/>
        <v>0.05</v>
      </c>
      <c r="B28" s="5">
        <v>5</v>
      </c>
      <c r="C28" s="5" t="s">
        <v>30</v>
      </c>
      <c r="D28" s="6">
        <v>17924.345000000001</v>
      </c>
      <c r="E28" s="6">
        <v>712.21</v>
      </c>
      <c r="F28" s="6">
        <v>1212.136</v>
      </c>
      <c r="G28" s="6">
        <v>16000</v>
      </c>
      <c r="H28" s="6">
        <v>56.8</v>
      </c>
      <c r="I28" s="7" t="s">
        <v>32</v>
      </c>
      <c r="J28" s="7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>
      <c r="A29" s="28">
        <f t="shared" si="1"/>
        <v>0.05</v>
      </c>
      <c r="B29" s="5">
        <v>1</v>
      </c>
      <c r="C29" s="5" t="s">
        <v>31</v>
      </c>
      <c r="D29" s="6">
        <v>13026.56</v>
      </c>
      <c r="E29" s="6">
        <v>1823.9</v>
      </c>
      <c r="F29" s="6">
        <v>1202.6600000000001</v>
      </c>
      <c r="G29" s="6">
        <v>10000</v>
      </c>
      <c r="H29" s="6">
        <v>13.93</v>
      </c>
      <c r="I29" s="7" t="s">
        <v>32</v>
      </c>
      <c r="J29" s="7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>
      <c r="A30" s="28">
        <f t="shared" si="1"/>
        <v>0.05</v>
      </c>
      <c r="B30" s="5">
        <v>2</v>
      </c>
      <c r="C30" s="5" t="s">
        <v>31</v>
      </c>
      <c r="D30" s="6">
        <v>11399.89</v>
      </c>
      <c r="E30" s="6">
        <v>2102.5700000000002</v>
      </c>
      <c r="F30" s="6">
        <v>1297.33</v>
      </c>
      <c r="G30" s="6">
        <v>8000</v>
      </c>
      <c r="H30" s="6">
        <v>5.05</v>
      </c>
      <c r="I30" s="7" t="s">
        <v>32</v>
      </c>
      <c r="J30" s="7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>
      <c r="A31" s="28">
        <f t="shared" si="1"/>
        <v>0.05</v>
      </c>
      <c r="B31" s="5">
        <v>3</v>
      </c>
      <c r="C31" s="5" t="s">
        <v>31</v>
      </c>
      <c r="D31" s="6">
        <v>18214.812999999998</v>
      </c>
      <c r="E31" s="6">
        <v>2114.6799999999998</v>
      </c>
      <c r="F31" s="6">
        <v>1100.1300000000001</v>
      </c>
      <c r="G31" s="6">
        <v>15000</v>
      </c>
      <c r="H31" s="6">
        <v>777.37</v>
      </c>
      <c r="I31" s="7" t="s">
        <v>32</v>
      </c>
      <c r="J31" s="7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>
      <c r="A32" s="28">
        <f t="shared" si="1"/>
        <v>0.05</v>
      </c>
      <c r="B32" s="5">
        <v>4</v>
      </c>
      <c r="C32" s="5" t="s">
        <v>31</v>
      </c>
      <c r="D32" s="6">
        <v>19415.759999999998</v>
      </c>
      <c r="E32" s="6">
        <v>2138.3000000000002</v>
      </c>
      <c r="F32" s="6">
        <v>1277.46</v>
      </c>
      <c r="G32" s="6">
        <v>16000</v>
      </c>
      <c r="H32" s="6">
        <v>47.8</v>
      </c>
      <c r="I32" s="7" t="s">
        <v>32</v>
      </c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>
      <c r="A33" s="28">
        <f t="shared" si="1"/>
        <v>0.05</v>
      </c>
      <c r="B33" s="5">
        <v>5</v>
      </c>
      <c r="C33" s="5" t="s">
        <v>31</v>
      </c>
      <c r="D33" s="6">
        <v>24283.72</v>
      </c>
      <c r="E33" s="6">
        <v>2162.04</v>
      </c>
      <c r="F33" s="6">
        <v>1121.67</v>
      </c>
      <c r="G33" s="6">
        <v>21000</v>
      </c>
      <c r="H33" s="6">
        <v>23.01</v>
      </c>
      <c r="I33" s="7" t="s">
        <v>32</v>
      </c>
      <c r="J33" s="7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1:20">
      <c r="A34" s="28">
        <f t="shared" ref="A34:A43" si="2">$B$8</f>
        <v>0.1</v>
      </c>
      <c r="B34" s="5">
        <v>1</v>
      </c>
      <c r="C34" s="5" t="s">
        <v>30</v>
      </c>
      <c r="D34" s="6">
        <v>16440.09</v>
      </c>
      <c r="E34" s="6">
        <v>1031.07</v>
      </c>
      <c r="F34" s="6">
        <v>1409.0160000000001</v>
      </c>
      <c r="G34" s="6">
        <v>14000</v>
      </c>
      <c r="H34" s="6">
        <v>65.146000000000001</v>
      </c>
      <c r="I34" s="7" t="s">
        <v>32</v>
      </c>
      <c r="J34" s="7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>
      <c r="A35" s="28">
        <f t="shared" si="2"/>
        <v>0.1</v>
      </c>
      <c r="B35" s="5">
        <v>2</v>
      </c>
      <c r="C35" s="5" t="s">
        <v>30</v>
      </c>
      <c r="D35" s="6">
        <v>2795.665</v>
      </c>
      <c r="E35" s="6">
        <v>1322.664</v>
      </c>
      <c r="F35" s="6">
        <v>1473.001</v>
      </c>
      <c r="G35" s="6">
        <v>0</v>
      </c>
      <c r="H35" s="6">
        <v>75.744</v>
      </c>
      <c r="I35" s="7" t="s">
        <v>32</v>
      </c>
      <c r="J35" s="7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>
      <c r="A36" s="28">
        <f t="shared" si="2"/>
        <v>0.1</v>
      </c>
      <c r="B36" s="5">
        <v>3</v>
      </c>
      <c r="C36" s="5" t="s">
        <v>30</v>
      </c>
      <c r="D36" s="6">
        <v>19600.833999999999</v>
      </c>
      <c r="E36" s="6">
        <v>1344.3579999999999</v>
      </c>
      <c r="F36" s="6">
        <v>1256.4760000000001</v>
      </c>
      <c r="G36" s="6">
        <v>17000</v>
      </c>
      <c r="H36" s="6">
        <v>70.626000000000005</v>
      </c>
      <c r="I36" s="7" t="s">
        <v>32</v>
      </c>
      <c r="J36" s="7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>
      <c r="A37" s="28">
        <f t="shared" si="2"/>
        <v>0.1</v>
      </c>
      <c r="B37" s="5">
        <v>4</v>
      </c>
      <c r="C37" s="5" t="s">
        <v>30</v>
      </c>
      <c r="D37" s="6">
        <v>16561.702000000001</v>
      </c>
      <c r="E37" s="6">
        <v>1175.4090000000001</v>
      </c>
      <c r="F37" s="6">
        <v>1386.2929999999999</v>
      </c>
      <c r="G37" s="6">
        <v>14000</v>
      </c>
      <c r="H37" s="6">
        <v>65.957999999999998</v>
      </c>
      <c r="I37" s="7" t="s">
        <v>32</v>
      </c>
      <c r="J37" s="7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>
      <c r="A38" s="28">
        <f t="shared" si="2"/>
        <v>0.1</v>
      </c>
      <c r="B38" s="5">
        <v>5</v>
      </c>
      <c r="C38" s="5" t="s">
        <v>30</v>
      </c>
      <c r="D38" s="6">
        <v>20151.723000000002</v>
      </c>
      <c r="E38" s="6">
        <v>908.048</v>
      </c>
      <c r="F38" s="6">
        <v>1243.675</v>
      </c>
      <c r="G38" s="6">
        <v>18000</v>
      </c>
      <c r="H38" s="6">
        <v>74.643000000000001</v>
      </c>
      <c r="I38" s="7" t="s">
        <v>32</v>
      </c>
      <c r="J38" s="7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>
      <c r="A39" s="28">
        <f t="shared" si="2"/>
        <v>0.1</v>
      </c>
      <c r="B39" s="5">
        <v>1</v>
      </c>
      <c r="C39" s="5" t="s">
        <v>31</v>
      </c>
      <c r="D39" s="6">
        <v>22167.89</v>
      </c>
      <c r="E39" s="6">
        <v>1837.93</v>
      </c>
      <c r="F39" s="6">
        <v>1329.95</v>
      </c>
      <c r="G39" s="6">
        <v>19000</v>
      </c>
      <c r="H39" s="6">
        <v>20.72</v>
      </c>
      <c r="I39" s="7" t="s">
        <v>32</v>
      </c>
      <c r="J39" s="7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 spans="1:20">
      <c r="A40" s="28">
        <f t="shared" si="2"/>
        <v>0.1</v>
      </c>
      <c r="B40" s="5">
        <v>2</v>
      </c>
      <c r="C40" s="5" t="s">
        <v>31</v>
      </c>
      <c r="D40" s="6">
        <v>13903.21</v>
      </c>
      <c r="E40" s="6">
        <v>2566.73</v>
      </c>
      <c r="F40" s="6">
        <v>1336.48</v>
      </c>
      <c r="G40" s="6">
        <v>10000</v>
      </c>
      <c r="H40" s="6">
        <v>8.0299999999999994</v>
      </c>
      <c r="I40" s="7" t="s">
        <v>32</v>
      </c>
      <c r="J40" s="7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>
      <c r="A41" s="28">
        <f t="shared" si="2"/>
        <v>0.1</v>
      </c>
      <c r="B41" s="5">
        <v>3</v>
      </c>
      <c r="C41" s="5" t="s">
        <v>31</v>
      </c>
      <c r="D41" s="6">
        <v>34408.36</v>
      </c>
      <c r="E41" s="6">
        <v>2270.08</v>
      </c>
      <c r="F41" s="6">
        <v>1138.28</v>
      </c>
      <c r="G41" s="6">
        <v>31000</v>
      </c>
      <c r="H41" s="6">
        <v>12.7</v>
      </c>
      <c r="I41" s="7" t="s">
        <v>32</v>
      </c>
      <c r="J41" s="7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>
      <c r="A42" s="28">
        <f t="shared" si="2"/>
        <v>0.1</v>
      </c>
      <c r="B42" s="5">
        <v>4</v>
      </c>
      <c r="C42" s="5" t="s">
        <v>31</v>
      </c>
      <c r="D42" s="6">
        <v>21870.95</v>
      </c>
      <c r="E42" s="6">
        <v>2650.32</v>
      </c>
      <c r="F42" s="6">
        <v>1220.6199999999999</v>
      </c>
      <c r="G42" s="6">
        <v>18000</v>
      </c>
      <c r="H42" s="6">
        <v>19.34</v>
      </c>
      <c r="I42" s="7" t="s">
        <v>32</v>
      </c>
      <c r="J42" s="7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>
      <c r="A43" s="28">
        <f t="shared" si="2"/>
        <v>0.1</v>
      </c>
      <c r="B43" s="5">
        <v>5</v>
      </c>
      <c r="C43" s="5" t="s">
        <v>31</v>
      </c>
      <c r="D43" s="6">
        <v>22176.01</v>
      </c>
      <c r="E43" s="6">
        <v>2024.73</v>
      </c>
      <c r="F43" s="6">
        <v>1151.28</v>
      </c>
      <c r="G43" s="6">
        <v>19000</v>
      </c>
      <c r="H43" s="6">
        <v>8.52</v>
      </c>
      <c r="I43" s="7" t="s">
        <v>32</v>
      </c>
      <c r="J43" s="7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>
      <c r="A44" s="28">
        <f t="shared" ref="A44:A53" si="3">$B$9</f>
        <v>0.15</v>
      </c>
      <c r="B44" s="5">
        <v>1</v>
      </c>
      <c r="C44" s="5" t="s">
        <v>30</v>
      </c>
      <c r="D44" s="6">
        <v>16743.120999999999</v>
      </c>
      <c r="E44" s="6">
        <v>1316.7349999999999</v>
      </c>
      <c r="F44" s="6">
        <v>1426.386</v>
      </c>
      <c r="G44" s="6">
        <v>14000</v>
      </c>
      <c r="H44" s="6">
        <v>75.543000000000006</v>
      </c>
      <c r="I44" s="7" t="s">
        <v>32</v>
      </c>
      <c r="J44" s="7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>
      <c r="A45" s="28">
        <f t="shared" si="3"/>
        <v>0.15</v>
      </c>
      <c r="B45" s="5">
        <v>2</v>
      </c>
      <c r="C45" s="5" t="s">
        <v>30</v>
      </c>
      <c r="D45" s="6">
        <v>13236.839</v>
      </c>
      <c r="E45" s="6">
        <v>2651.268</v>
      </c>
      <c r="F45" s="6">
        <v>1585.5719999999999</v>
      </c>
      <c r="G45" s="6">
        <v>9000</v>
      </c>
      <c r="H45" s="6">
        <v>84.084999999999994</v>
      </c>
      <c r="I45" s="7" t="s">
        <v>32</v>
      </c>
      <c r="J45" s="7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>
      <c r="A46" s="28">
        <f t="shared" si="3"/>
        <v>0.15</v>
      </c>
      <c r="B46" s="5">
        <v>3</v>
      </c>
      <c r="C46" s="5" t="s">
        <v>30</v>
      </c>
      <c r="D46" s="6">
        <v>24519.498</v>
      </c>
      <c r="E46" s="6">
        <v>1101.2260000000001</v>
      </c>
      <c r="F46" s="6">
        <v>1418.2719999999999</v>
      </c>
      <c r="G46" s="6">
        <v>22000</v>
      </c>
      <c r="H46" s="6">
        <v>75.215000000000003</v>
      </c>
      <c r="I46" s="7" t="s">
        <v>32</v>
      </c>
      <c r="J46" s="7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>
      <c r="A47" s="28">
        <f t="shared" si="3"/>
        <v>0.15</v>
      </c>
      <c r="B47" s="5">
        <v>4</v>
      </c>
      <c r="C47" s="5" t="s">
        <v>30</v>
      </c>
      <c r="D47" s="6">
        <v>20028.045999999998</v>
      </c>
      <c r="E47" s="6">
        <v>1529.3869999999999</v>
      </c>
      <c r="F47" s="6">
        <v>1498.6590000000001</v>
      </c>
      <c r="G47" s="6">
        <v>17000</v>
      </c>
      <c r="H47" s="6">
        <v>75.900000000000006</v>
      </c>
      <c r="I47" s="7" t="s">
        <v>32</v>
      </c>
      <c r="J47" s="7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>
      <c r="A48" s="28">
        <f t="shared" si="3"/>
        <v>0.15</v>
      </c>
      <c r="B48" s="5">
        <v>5</v>
      </c>
      <c r="C48" s="5" t="s">
        <v>30</v>
      </c>
      <c r="D48" s="6">
        <v>27178.841</v>
      </c>
      <c r="E48" s="6">
        <v>1883.289</v>
      </c>
      <c r="F48" s="6">
        <v>1295.5519999999999</v>
      </c>
      <c r="G48" s="6">
        <v>24000</v>
      </c>
      <c r="H48" s="6">
        <v>78.760999999999996</v>
      </c>
      <c r="I48" s="7" t="s">
        <v>32</v>
      </c>
      <c r="J48" s="7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>
      <c r="A49" s="28">
        <f t="shared" si="3"/>
        <v>0.15</v>
      </c>
      <c r="B49" s="5">
        <v>1</v>
      </c>
      <c r="C49" s="5" t="s">
        <v>31</v>
      </c>
      <c r="D49" s="6">
        <v>30349</v>
      </c>
      <c r="E49" s="6">
        <v>1988.33</v>
      </c>
      <c r="F49" s="6">
        <v>1360.68</v>
      </c>
      <c r="G49" s="6">
        <v>27000</v>
      </c>
      <c r="H49" s="6">
        <v>13.58</v>
      </c>
      <c r="I49" s="7" t="s">
        <v>32</v>
      </c>
      <c r="J49" s="7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>
      <c r="A50" s="28">
        <f t="shared" si="3"/>
        <v>0.15</v>
      </c>
      <c r="B50" s="5">
        <v>2</v>
      </c>
      <c r="C50" s="5" t="s">
        <v>31</v>
      </c>
      <c r="D50" s="6">
        <v>22976</v>
      </c>
      <c r="E50" s="6">
        <v>2715.65</v>
      </c>
      <c r="F50" s="6">
        <v>1260.3599999999999</v>
      </c>
      <c r="G50" s="6">
        <v>19000</v>
      </c>
      <c r="H50" s="6">
        <v>219.37</v>
      </c>
      <c r="I50" s="7" t="s">
        <v>32</v>
      </c>
      <c r="J50" s="7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>
      <c r="A51" s="28">
        <f t="shared" si="3"/>
        <v>0.15</v>
      </c>
      <c r="B51" s="5">
        <v>3</v>
      </c>
      <c r="C51" s="5" t="s">
        <v>31</v>
      </c>
      <c r="D51" s="6">
        <v>32804.57</v>
      </c>
      <c r="E51" s="6">
        <v>2516.19</v>
      </c>
      <c r="F51" s="6">
        <v>1288.3800000000001</v>
      </c>
      <c r="G51" s="6">
        <v>29000</v>
      </c>
      <c r="H51" s="6">
        <v>37.19</v>
      </c>
      <c r="I51" s="7" t="s">
        <v>32</v>
      </c>
      <c r="J51" s="7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>
      <c r="A52" s="28">
        <f t="shared" si="3"/>
        <v>0.15</v>
      </c>
      <c r="B52" s="5">
        <v>4</v>
      </c>
      <c r="C52" s="5" t="s">
        <v>31</v>
      </c>
      <c r="D52" s="6">
        <v>22293.14</v>
      </c>
      <c r="E52" s="6">
        <v>3025.81</v>
      </c>
      <c r="F52" s="6">
        <v>1267.32</v>
      </c>
      <c r="G52" s="6">
        <v>18000</v>
      </c>
      <c r="H52" s="6">
        <v>17.239999999999998</v>
      </c>
      <c r="I52" s="7" t="s">
        <v>32</v>
      </c>
      <c r="J52" s="7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>
      <c r="A53" s="28">
        <f t="shared" si="3"/>
        <v>0.15</v>
      </c>
      <c r="B53" s="5">
        <v>5</v>
      </c>
      <c r="C53" s="5" t="s">
        <v>31</v>
      </c>
      <c r="D53" s="6">
        <v>31781.439999999999</v>
      </c>
      <c r="E53" s="6">
        <v>2574.1799999999998</v>
      </c>
      <c r="F53" s="6">
        <v>1207.26</v>
      </c>
      <c r="G53" s="6">
        <v>28000</v>
      </c>
      <c r="H53" s="6">
        <v>22.411000000000001</v>
      </c>
      <c r="I53" s="7" t="s">
        <v>32</v>
      </c>
      <c r="J53" s="7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>
      <c r="A54" s="28">
        <f t="shared" ref="A54:A63" si="4">$B$10</f>
        <v>0.2</v>
      </c>
      <c r="B54" s="5">
        <v>1</v>
      </c>
      <c r="C54" s="5" t="s">
        <v>30</v>
      </c>
      <c r="D54" s="6">
        <v>25133.419000000002</v>
      </c>
      <c r="E54" s="6">
        <v>1671.8150000000001</v>
      </c>
      <c r="F54" s="6">
        <v>1461.604</v>
      </c>
      <c r="G54" s="6">
        <v>22000</v>
      </c>
      <c r="H54" s="6">
        <v>90.8</v>
      </c>
      <c r="I54" s="7" t="s">
        <v>32</v>
      </c>
      <c r="J54" s="7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>
      <c r="A55" s="28">
        <f t="shared" si="4"/>
        <v>0.2</v>
      </c>
      <c r="B55" s="5">
        <v>2</v>
      </c>
      <c r="C55" s="5" t="s">
        <v>30</v>
      </c>
      <c r="D55" s="6">
        <v>12020.582</v>
      </c>
      <c r="E55" s="6">
        <v>1545.4680000000001</v>
      </c>
      <c r="F55" s="6">
        <v>1475.114</v>
      </c>
      <c r="G55" s="6">
        <v>9000</v>
      </c>
      <c r="H55" s="6">
        <v>90.543000000000006</v>
      </c>
      <c r="I55" s="7" t="s">
        <v>32</v>
      </c>
      <c r="J55" s="7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 spans="1:20">
      <c r="A56" s="28">
        <f t="shared" si="4"/>
        <v>0.2</v>
      </c>
      <c r="B56" s="5">
        <v>3</v>
      </c>
      <c r="C56" s="5" t="s">
        <v>30</v>
      </c>
      <c r="D56" s="6">
        <v>31561.446</v>
      </c>
      <c r="E56" s="6">
        <v>1101.942</v>
      </c>
      <c r="F56" s="6">
        <v>1459.5039999999999</v>
      </c>
      <c r="G56" s="6">
        <v>29000</v>
      </c>
      <c r="H56" s="6">
        <v>90.784000000000006</v>
      </c>
      <c r="I56" s="7" t="s">
        <v>32</v>
      </c>
      <c r="J56" s="7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>
      <c r="A57" s="28">
        <f t="shared" si="4"/>
        <v>0.2</v>
      </c>
      <c r="B57" s="5">
        <v>4</v>
      </c>
      <c r="C57" s="5" t="s">
        <v>30</v>
      </c>
      <c r="D57" s="6">
        <v>22489.420999999998</v>
      </c>
      <c r="E57" s="6">
        <v>1974.694</v>
      </c>
      <c r="F57" s="6">
        <v>1514.7270000000001</v>
      </c>
      <c r="G57" s="6">
        <v>19000</v>
      </c>
      <c r="H57" s="6">
        <v>92.222999999999999</v>
      </c>
      <c r="I57" s="7" t="s">
        <v>32</v>
      </c>
      <c r="J57" s="7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>
      <c r="A58" s="28">
        <f t="shared" si="4"/>
        <v>0.2</v>
      </c>
      <c r="B58" s="5">
        <v>5</v>
      </c>
      <c r="C58" s="5" t="s">
        <v>30</v>
      </c>
      <c r="D58" s="6">
        <v>28714.898000000001</v>
      </c>
      <c r="E58" s="6">
        <v>1331.326</v>
      </c>
      <c r="F58" s="6">
        <v>1383.5719999999999</v>
      </c>
      <c r="G58" s="6">
        <v>26000</v>
      </c>
      <c r="H58" s="6">
        <v>89.974999999999994</v>
      </c>
      <c r="I58" s="7" t="s">
        <v>32</v>
      </c>
      <c r="J58" s="7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>
      <c r="A59" s="28">
        <f t="shared" si="4"/>
        <v>0.2</v>
      </c>
      <c r="B59" s="5">
        <v>1</v>
      </c>
      <c r="C59" s="5" t="s">
        <v>31</v>
      </c>
      <c r="D59" s="6">
        <v>31531.528999999999</v>
      </c>
      <c r="E59" s="6">
        <v>2201.79</v>
      </c>
      <c r="F59" s="6">
        <v>1329.74</v>
      </c>
      <c r="G59" s="6">
        <v>28000</v>
      </c>
      <c r="H59" s="6">
        <v>13.09</v>
      </c>
      <c r="I59" s="7" t="s">
        <v>32</v>
      </c>
      <c r="J59" s="7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 spans="1:20">
      <c r="A60" s="28">
        <f t="shared" si="4"/>
        <v>0.2</v>
      </c>
      <c r="B60" s="5">
        <v>2</v>
      </c>
      <c r="C60" s="5" t="s">
        <v>31</v>
      </c>
      <c r="D60" s="6">
        <v>17249.849999999999</v>
      </c>
      <c r="E60" s="6">
        <v>2927.68</v>
      </c>
      <c r="F60" s="6">
        <v>1322.17</v>
      </c>
      <c r="G60" s="6">
        <v>13000</v>
      </c>
      <c r="H60" s="6">
        <v>84.23</v>
      </c>
      <c r="I60" s="7" t="s">
        <v>32</v>
      </c>
      <c r="J60" s="7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>
      <c r="A61" s="28">
        <f t="shared" si="4"/>
        <v>0.2</v>
      </c>
      <c r="B61" s="5">
        <v>3</v>
      </c>
      <c r="C61" s="5" t="s">
        <v>31</v>
      </c>
      <c r="D61" s="6">
        <v>39373.449999999997</v>
      </c>
      <c r="E61" s="6">
        <v>2167.6999999999998</v>
      </c>
      <c r="F61" s="6">
        <v>1205.75</v>
      </c>
      <c r="G61" s="6">
        <v>36000</v>
      </c>
      <c r="H61" s="6">
        <v>20.309999999999999</v>
      </c>
      <c r="I61" s="7" t="s">
        <v>32</v>
      </c>
      <c r="J61" s="7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 spans="1:20">
      <c r="A62" s="28">
        <f t="shared" si="4"/>
        <v>0.2</v>
      </c>
      <c r="B62" s="5">
        <v>4</v>
      </c>
      <c r="C62" s="5" t="s">
        <v>31</v>
      </c>
      <c r="D62" s="6">
        <v>31077.266</v>
      </c>
      <c r="E62" s="6">
        <v>2624.58</v>
      </c>
      <c r="F62" s="6">
        <v>1452.68</v>
      </c>
      <c r="G62" s="6">
        <v>27000</v>
      </c>
      <c r="H62" s="6">
        <v>39.32</v>
      </c>
      <c r="I62" s="7" t="s">
        <v>32</v>
      </c>
      <c r="J62" s="7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>
      <c r="A63" s="31">
        <f t="shared" si="4"/>
        <v>0.2</v>
      </c>
      <c r="B63" s="9">
        <v>5</v>
      </c>
      <c r="C63" s="9" t="s">
        <v>31</v>
      </c>
      <c r="D63" s="10">
        <v>34423.118000000002</v>
      </c>
      <c r="E63" s="10">
        <v>2089.989</v>
      </c>
      <c r="F63" s="10">
        <v>1333.13</v>
      </c>
      <c r="G63" s="10">
        <v>31000</v>
      </c>
      <c r="H63" s="10">
        <v>42.38</v>
      </c>
      <c r="I63" s="11" t="s">
        <v>32</v>
      </c>
      <c r="J63" s="11"/>
      <c r="K63" s="12"/>
      <c r="L63" s="12"/>
      <c r="M63" s="12"/>
      <c r="N63" s="12"/>
      <c r="O63" s="12"/>
      <c r="P63" s="12"/>
      <c r="Q63" s="12"/>
      <c r="R63" s="12"/>
      <c r="S63" s="12"/>
      <c r="T63" s="12"/>
    </row>
  </sheetData>
  <mergeCells count="2">
    <mergeCell ref="A2:J2"/>
    <mergeCell ref="A3:J3"/>
  </mergeCells>
  <dataValidations count="1">
    <dataValidation type="list" sqref="I14:I63" xr:uid="{00000000-0002-0000-01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Delta</vt:lpstr>
      <vt:lpstr>Synchronization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Sadra Bahojb</cp:lastModifiedBy>
  <dcterms:modified xsi:type="dcterms:W3CDTF">2026-10-14T15:46:45Z</dcterms:modified>
</cp:coreProperties>
</file>